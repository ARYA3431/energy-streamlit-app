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24854\Downloads\"/>
    </mc:Choice>
  </mc:AlternateContent>
  <bookViews>
    <workbookView xWindow="0" yWindow="0" windowWidth="25050" windowHeight="12270" activeTab="3"/>
  </bookViews>
  <sheets>
    <sheet name="JAN26" sheetId="1" r:id="rId1"/>
    <sheet name="Feb'26" sheetId="3" r:id="rId2"/>
    <sheet name="March" sheetId="4" r:id="rId3"/>
    <sheet name="April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53" i="5" l="1"/>
  <c r="P52" i="5"/>
  <c r="P51" i="5"/>
  <c r="P50" i="5"/>
  <c r="P49" i="5"/>
  <c r="P54" i="5" s="1"/>
  <c r="P40" i="5"/>
  <c r="P43" i="5" s="1"/>
  <c r="P38" i="5"/>
  <c r="P37" i="5"/>
  <c r="P42" i="5" s="1"/>
  <c r="P36" i="5"/>
  <c r="P46" i="5" s="1"/>
  <c r="P60" i="5" s="1"/>
  <c r="P9" i="5"/>
  <c r="P39" i="5" l="1"/>
  <c r="P44" i="5"/>
  <c r="P58" i="5" s="1"/>
  <c r="O58" i="5"/>
  <c r="O61" i="5" s="1"/>
  <c r="O59" i="5"/>
  <c r="O60" i="5"/>
  <c r="O36" i="5"/>
  <c r="O46" i="5" s="1"/>
  <c r="O37" i="5"/>
  <c r="O38" i="5"/>
  <c r="O40" i="5"/>
  <c r="O43" i="5" s="1"/>
  <c r="O42" i="5"/>
  <c r="O49" i="5"/>
  <c r="O54" i="5" s="1"/>
  <c r="O50" i="5"/>
  <c r="O51" i="5"/>
  <c r="O52" i="5"/>
  <c r="O53" i="5"/>
  <c r="O9" i="5"/>
  <c r="P45" i="5" l="1"/>
  <c r="O44" i="5"/>
  <c r="O39" i="5"/>
  <c r="O45" i="5" s="1"/>
  <c r="O47" i="5" s="1"/>
  <c r="N53" i="5"/>
  <c r="N52" i="5"/>
  <c r="N51" i="5"/>
  <c r="N50" i="5"/>
  <c r="N49" i="5"/>
  <c r="N40" i="5"/>
  <c r="N43" i="5" s="1"/>
  <c r="N38" i="5"/>
  <c r="N37" i="5"/>
  <c r="N42" i="5" s="1"/>
  <c r="N36" i="5"/>
  <c r="N46" i="5" s="1"/>
  <c r="N60" i="5" s="1"/>
  <c r="N9" i="5"/>
  <c r="P59" i="5" l="1"/>
  <c r="P61" i="5" s="1"/>
  <c r="P47" i="5"/>
  <c r="N44" i="5"/>
  <c r="N58" i="5" s="1"/>
  <c r="N39" i="5"/>
  <c r="N45" i="5" s="1"/>
  <c r="N59" i="5" s="1"/>
  <c r="N54" i="5"/>
  <c r="M58" i="5"/>
  <c r="M59" i="5"/>
  <c r="M60" i="5"/>
  <c r="M61" i="5"/>
  <c r="M36" i="5"/>
  <c r="M46" i="5" s="1"/>
  <c r="M37" i="5"/>
  <c r="M39" i="5" s="1"/>
  <c r="M38" i="5"/>
  <c r="M40" i="5"/>
  <c r="M42" i="5"/>
  <c r="M43" i="5"/>
  <c r="M49" i="5"/>
  <c r="M54" i="5" s="1"/>
  <c r="M50" i="5"/>
  <c r="M51" i="5"/>
  <c r="M52" i="5"/>
  <c r="M53" i="5"/>
  <c r="M9" i="5"/>
  <c r="N61" i="5" l="1"/>
  <c r="N47" i="5"/>
  <c r="M44" i="5"/>
  <c r="M47" i="5" s="1"/>
  <c r="M45" i="5"/>
  <c r="L58" i="5"/>
  <c r="L59" i="5"/>
  <c r="L60" i="5"/>
  <c r="L61" i="5"/>
  <c r="L36" i="5"/>
  <c r="L46" i="5" s="1"/>
  <c r="L37" i="5"/>
  <c r="L39" i="5" s="1"/>
  <c r="L38" i="5"/>
  <c r="L44" i="5" s="1"/>
  <c r="L40" i="5"/>
  <c r="L43" i="5"/>
  <c r="L49" i="5"/>
  <c r="L54" i="5" s="1"/>
  <c r="L50" i="5"/>
  <c r="L51" i="5"/>
  <c r="L52" i="5"/>
  <c r="L53" i="5"/>
  <c r="L9" i="5"/>
  <c r="L42" i="5" l="1"/>
  <c r="L45" i="5" s="1"/>
  <c r="L47" i="5" s="1"/>
  <c r="K36" i="5"/>
  <c r="K37" i="5"/>
  <c r="K42" i="5" s="1"/>
  <c r="K38" i="5"/>
  <c r="K39" i="5" s="1"/>
  <c r="K45" i="5" s="1"/>
  <c r="K59" i="5" s="1"/>
  <c r="K40" i="5"/>
  <c r="K43" i="5"/>
  <c r="K46" i="5"/>
  <c r="K60" i="5" s="1"/>
  <c r="K49" i="5"/>
  <c r="K54" i="5" s="1"/>
  <c r="K50" i="5"/>
  <c r="K51" i="5"/>
  <c r="K52" i="5"/>
  <c r="K53" i="5"/>
  <c r="K9" i="5"/>
  <c r="K44" i="5" l="1"/>
  <c r="J53" i="5"/>
  <c r="J52" i="5"/>
  <c r="J51" i="5"/>
  <c r="J50" i="5"/>
  <c r="J49" i="5"/>
  <c r="J40" i="5"/>
  <c r="J43" i="5" s="1"/>
  <c r="J38" i="5"/>
  <c r="J44" i="5" s="1"/>
  <c r="J37" i="5"/>
  <c r="J42" i="5" s="1"/>
  <c r="J36" i="5"/>
  <c r="J46" i="5" s="1"/>
  <c r="J60" i="5" s="1"/>
  <c r="J9" i="5"/>
  <c r="K47" i="5" l="1"/>
  <c r="K58" i="5"/>
  <c r="K61" i="5" s="1"/>
  <c r="J54" i="5"/>
  <c r="J39" i="5"/>
  <c r="J45" i="5" s="1"/>
  <c r="J59" i="5" s="1"/>
  <c r="J58" i="5"/>
  <c r="I36" i="5"/>
  <c r="I37" i="5"/>
  <c r="I42" i="5" s="1"/>
  <c r="I38" i="5"/>
  <c r="I39" i="5"/>
  <c r="I40" i="5"/>
  <c r="I53" i="5"/>
  <c r="I52" i="5"/>
  <c r="I51" i="5"/>
  <c r="I50" i="5"/>
  <c r="I49" i="5"/>
  <c r="I54" i="5" s="1"/>
  <c r="I43" i="5"/>
  <c r="I46" i="5"/>
  <c r="I60" i="5" s="1"/>
  <c r="I9" i="5"/>
  <c r="J47" i="5" l="1"/>
  <c r="J61" i="5"/>
  <c r="I44" i="5"/>
  <c r="I45" i="5"/>
  <c r="I59" i="5" s="1"/>
  <c r="I58" i="5"/>
  <c r="I47" i="5"/>
  <c r="H36" i="5"/>
  <c r="H46" i="5"/>
  <c r="I61" i="5" l="1"/>
  <c r="H60" i="5"/>
  <c r="H61" i="5" s="1"/>
  <c r="H58" i="5"/>
  <c r="H59" i="5"/>
  <c r="H52" i="5"/>
  <c r="H53" i="5"/>
  <c r="H54" i="5"/>
  <c r="H51" i="5"/>
  <c r="H50" i="5"/>
  <c r="H49" i="5"/>
  <c r="H45" i="5"/>
  <c r="H44" i="5"/>
  <c r="H43" i="5"/>
  <c r="H42" i="5"/>
  <c r="H40" i="5"/>
  <c r="H39" i="5"/>
  <c r="H38" i="5"/>
  <c r="H37" i="5"/>
  <c r="H9" i="5"/>
  <c r="H47" i="5" l="1"/>
  <c r="G58" i="5"/>
  <c r="G59" i="5"/>
  <c r="G60" i="5"/>
  <c r="G36" i="5"/>
  <c r="G37" i="5"/>
  <c r="G39" i="5" s="1"/>
  <c r="G38" i="5"/>
  <c r="G40" i="5"/>
  <c r="G43" i="5" s="1"/>
  <c r="G46" i="5"/>
  <c r="G49" i="5"/>
  <c r="G54" i="5" s="1"/>
  <c r="G50" i="5"/>
  <c r="G51" i="5"/>
  <c r="G52" i="5"/>
  <c r="G53" i="5"/>
  <c r="G9" i="5"/>
  <c r="G61" i="5" l="1"/>
  <c r="G44" i="5"/>
  <c r="G42" i="5"/>
  <c r="G45" i="5" s="1"/>
  <c r="F58" i="5"/>
  <c r="F59" i="5"/>
  <c r="F60" i="5"/>
  <c r="F61" i="5"/>
  <c r="F42" i="5"/>
  <c r="F43" i="5"/>
  <c r="F44" i="5" s="1"/>
  <c r="F46" i="5"/>
  <c r="F49" i="5"/>
  <c r="F54" i="5" s="1"/>
  <c r="F50" i="5"/>
  <c r="F51" i="5"/>
  <c r="F52" i="5"/>
  <c r="F53" i="5"/>
  <c r="F36" i="5"/>
  <c r="F37" i="5"/>
  <c r="F39" i="5" s="1"/>
  <c r="F38" i="5"/>
  <c r="F40" i="5"/>
  <c r="F9" i="5"/>
  <c r="G47" i="5" l="1"/>
  <c r="F45" i="5"/>
  <c r="F47" i="5" s="1"/>
  <c r="E38" i="5"/>
  <c r="E9" i="5"/>
  <c r="E36" i="5"/>
  <c r="E37" i="5"/>
  <c r="E40" i="5"/>
  <c r="E43" i="5"/>
  <c r="E44" i="5" s="1"/>
  <c r="E46" i="5"/>
  <c r="E60" i="5" s="1"/>
  <c r="E49" i="5"/>
  <c r="E54" i="5" s="1"/>
  <c r="E50" i="5"/>
  <c r="E51" i="5"/>
  <c r="E52" i="5"/>
  <c r="E53" i="5"/>
  <c r="D53" i="5"/>
  <c r="C53" i="5"/>
  <c r="D52" i="5"/>
  <c r="C52" i="5"/>
  <c r="D51" i="5"/>
  <c r="C51" i="5"/>
  <c r="D50" i="5"/>
  <c r="C50" i="5"/>
  <c r="D49" i="5"/>
  <c r="D54" i="5" s="1"/>
  <c r="C49" i="5"/>
  <c r="C54" i="5" s="1"/>
  <c r="D43" i="5"/>
  <c r="C43" i="5"/>
  <c r="C42" i="5"/>
  <c r="D40" i="5"/>
  <c r="C40" i="5"/>
  <c r="D39" i="5"/>
  <c r="C39" i="5"/>
  <c r="C45" i="5" s="1"/>
  <c r="C59" i="5" s="1"/>
  <c r="D38" i="5"/>
  <c r="D44" i="5" s="1"/>
  <c r="C38" i="5"/>
  <c r="D37" i="5"/>
  <c r="D42" i="5" s="1"/>
  <c r="C37" i="5"/>
  <c r="D36" i="5"/>
  <c r="D46" i="5" s="1"/>
  <c r="D60" i="5" s="1"/>
  <c r="C36" i="5"/>
  <c r="C46" i="5" s="1"/>
  <c r="C60" i="5" s="1"/>
  <c r="D9" i="5"/>
  <c r="C9" i="5"/>
  <c r="E39" i="5" l="1"/>
  <c r="E45" i="5" s="1"/>
  <c r="E42" i="5"/>
  <c r="E59" i="5" s="1"/>
  <c r="E58" i="5"/>
  <c r="D58" i="5"/>
  <c r="D61" i="5" s="1"/>
  <c r="D47" i="5"/>
  <c r="D45" i="5"/>
  <c r="D59" i="5" s="1"/>
  <c r="C44" i="5"/>
  <c r="AH36" i="4"/>
  <c r="AH46" i="4" s="1"/>
  <c r="AH60" i="4" s="1"/>
  <c r="AH37" i="4"/>
  <c r="AH42" i="4" s="1"/>
  <c r="AH38" i="4"/>
  <c r="AH40" i="4"/>
  <c r="AG58" i="4"/>
  <c r="AH43" i="4"/>
  <c r="AH49" i="4"/>
  <c r="AH50" i="4"/>
  <c r="AH51" i="4"/>
  <c r="AH52" i="4"/>
  <c r="AH53" i="4"/>
  <c r="AH9" i="4"/>
  <c r="E61" i="5" l="1"/>
  <c r="E47" i="5"/>
  <c r="C58" i="5"/>
  <c r="C61" i="5" s="1"/>
  <c r="C47" i="5"/>
  <c r="AH44" i="4"/>
  <c r="AH39" i="4"/>
  <c r="AH45" i="4" s="1"/>
  <c r="AH54" i="4"/>
  <c r="AH58" i="4"/>
  <c r="AG36" i="4"/>
  <c r="AG46" i="4" s="1"/>
  <c r="AG60" i="4" s="1"/>
  <c r="AG37" i="4"/>
  <c r="AG38" i="4"/>
  <c r="AG44" i="4" s="1"/>
  <c r="AG40" i="4"/>
  <c r="AG42" i="4"/>
  <c r="AG43" i="4"/>
  <c r="AG49" i="4"/>
  <c r="AG54" i="4" s="1"/>
  <c r="AG50" i="4"/>
  <c r="AG51" i="4"/>
  <c r="AG52" i="4"/>
  <c r="AG53" i="4"/>
  <c r="AG9" i="4"/>
  <c r="AH59" i="4" l="1"/>
  <c r="AH47" i="4"/>
  <c r="AH61" i="4"/>
  <c r="AG39" i="4"/>
  <c r="AG45" i="4" s="1"/>
  <c r="AG59" i="4" s="1"/>
  <c r="AF60" i="4"/>
  <c r="AF59" i="4"/>
  <c r="AF58" i="4"/>
  <c r="AF54" i="4"/>
  <c r="AF49" i="4"/>
  <c r="AF47" i="4"/>
  <c r="AF45" i="4"/>
  <c r="AF44" i="4"/>
  <c r="AF50" i="4"/>
  <c r="AF51" i="4"/>
  <c r="AF52" i="4"/>
  <c r="AF53" i="4"/>
  <c r="AF42" i="4"/>
  <c r="AF43" i="4"/>
  <c r="AF46" i="4"/>
  <c r="AF36" i="4"/>
  <c r="AF37" i="4"/>
  <c r="AF38" i="4"/>
  <c r="AF39" i="4"/>
  <c r="AF40" i="4"/>
  <c r="AF9" i="4"/>
  <c r="AE49" i="4"/>
  <c r="AG61" i="4" l="1"/>
  <c r="AG47" i="4"/>
  <c r="AF61" i="4"/>
  <c r="AE42" i="4" l="1"/>
  <c r="AE43" i="4"/>
  <c r="AE50" i="4" l="1"/>
  <c r="AE51" i="4"/>
  <c r="AE52" i="4"/>
  <c r="AE53" i="4"/>
  <c r="AE36" i="4"/>
  <c r="AE46" i="4" s="1"/>
  <c r="AE60" i="4" s="1"/>
  <c r="AE37" i="4"/>
  <c r="AE38" i="4"/>
  <c r="AE40" i="4"/>
  <c r="AE9" i="4"/>
  <c r="AD42" i="4"/>
  <c r="AE44" i="4" l="1"/>
  <c r="AE58" i="4" s="1"/>
  <c r="AE54" i="4"/>
  <c r="AE39" i="4"/>
  <c r="AE45" i="4" s="1"/>
  <c r="D40" i="4"/>
  <c r="D39" i="4"/>
  <c r="D38" i="4"/>
  <c r="AE47" i="4" l="1"/>
  <c r="AE59" i="4"/>
  <c r="AE61" i="4" s="1"/>
  <c r="AD36" i="4"/>
  <c r="AD46" i="4" s="1"/>
  <c r="AD60" i="4" s="1"/>
  <c r="AD37" i="4"/>
  <c r="AD38" i="4"/>
  <c r="AD40" i="4"/>
  <c r="AD43" i="4" s="1"/>
  <c r="AD49" i="4"/>
  <c r="AD50" i="4"/>
  <c r="AD51" i="4"/>
  <c r="AD52" i="4"/>
  <c r="AD53" i="4"/>
  <c r="AD9" i="4"/>
  <c r="AD54" i="4" l="1"/>
  <c r="AD44" i="4"/>
  <c r="AD58" i="4" s="1"/>
  <c r="AD39" i="4"/>
  <c r="AC58" i="4"/>
  <c r="AC59" i="4"/>
  <c r="AC60" i="4"/>
  <c r="AC61" i="4"/>
  <c r="AC36" i="4"/>
  <c r="AC46" i="4" s="1"/>
  <c r="AC37" i="4"/>
  <c r="AC39" i="4" s="1"/>
  <c r="AC38" i="4"/>
  <c r="AC44" i="4" s="1"/>
  <c r="AC40" i="4"/>
  <c r="AC43" i="4"/>
  <c r="AC49" i="4"/>
  <c r="AC54" i="4" s="1"/>
  <c r="AC50" i="4"/>
  <c r="AC51" i="4"/>
  <c r="AC52" i="4"/>
  <c r="AC53" i="4"/>
  <c r="AC9" i="4"/>
  <c r="AD45" i="4" l="1"/>
  <c r="AD59" i="4" s="1"/>
  <c r="AD61" i="4" s="1"/>
  <c r="AC42" i="4"/>
  <c r="AC45" i="4" s="1"/>
  <c r="AC47" i="4" s="1"/>
  <c r="AB58" i="4"/>
  <c r="AB61" i="4" s="1"/>
  <c r="AB59" i="4"/>
  <c r="AB60" i="4"/>
  <c r="AB36" i="4"/>
  <c r="AB37" i="4"/>
  <c r="AB39" i="4" s="1"/>
  <c r="AB38" i="4"/>
  <c r="AB40" i="4"/>
  <c r="AB43" i="4" s="1"/>
  <c r="AB44" i="4" s="1"/>
  <c r="AB42" i="4"/>
  <c r="AB46" i="4"/>
  <c r="AB49" i="4"/>
  <c r="AB50" i="4"/>
  <c r="AB51" i="4"/>
  <c r="AB54" i="4" s="1"/>
  <c r="AB52" i="4"/>
  <c r="AB53" i="4"/>
  <c r="AB9" i="4"/>
  <c r="AD47" i="4" l="1"/>
  <c r="AB45" i="4"/>
  <c r="AB47" i="4" s="1"/>
  <c r="AA58" i="4"/>
  <c r="AA59" i="4"/>
  <c r="AA60" i="4"/>
  <c r="AA61" i="4"/>
  <c r="AA36" i="4"/>
  <c r="AA46" i="4" s="1"/>
  <c r="AA37" i="4"/>
  <c r="AA39" i="4" s="1"/>
  <c r="AA38" i="4"/>
  <c r="AA44" i="4" s="1"/>
  <c r="AA40" i="4"/>
  <c r="AA43" i="4"/>
  <c r="AA49" i="4"/>
  <c r="AA54" i="4" s="1"/>
  <c r="AA50" i="4"/>
  <c r="AA51" i="4"/>
  <c r="AA52" i="4"/>
  <c r="AA53" i="4"/>
  <c r="AA9" i="4"/>
  <c r="AA42" i="4" l="1"/>
  <c r="AA45" i="4" s="1"/>
  <c r="AA47" i="4" s="1"/>
  <c r="Z58" i="4"/>
  <c r="Z59" i="4"/>
  <c r="Z60" i="4"/>
  <c r="Z61" i="4"/>
  <c r="Z38" i="4"/>
  <c r="Z44" i="4" s="1"/>
  <c r="X44" i="4"/>
  <c r="Z36" i="4"/>
  <c r="Z37" i="4"/>
  <c r="Z40" i="4"/>
  <c r="Z43" i="4" s="1"/>
  <c r="Z42" i="4"/>
  <c r="Z46" i="4"/>
  <c r="Z49" i="4"/>
  <c r="Z54" i="4" s="1"/>
  <c r="Z50" i="4"/>
  <c r="Z51" i="4"/>
  <c r="Z52" i="4"/>
  <c r="Z53" i="4"/>
  <c r="Z9" i="4"/>
  <c r="Z39" i="4" l="1"/>
  <c r="Z45" i="4" s="1"/>
  <c r="Y58" i="4"/>
  <c r="Y59" i="4"/>
  <c r="Y60" i="4"/>
  <c r="Y61" i="4"/>
  <c r="Y36" i="4"/>
  <c r="Y37" i="4"/>
  <c r="Y42" i="4" s="1"/>
  <c r="Y38" i="4"/>
  <c r="Y39" i="4" s="1"/>
  <c r="Y45" i="4" s="1"/>
  <c r="Y40" i="4"/>
  <c r="Y43" i="4" s="1"/>
  <c r="Y46" i="4"/>
  <c r="Y49" i="4"/>
  <c r="Y50" i="4"/>
  <c r="Y51" i="4"/>
  <c r="Y52" i="4"/>
  <c r="Y53" i="4"/>
  <c r="Y54" i="4"/>
  <c r="Y9" i="4"/>
  <c r="Z47" i="4" l="1"/>
  <c r="Y44" i="4"/>
  <c r="Y47" i="4" s="1"/>
  <c r="X58" i="4"/>
  <c r="X61" i="4" s="1"/>
  <c r="X59" i="4"/>
  <c r="X60" i="4"/>
  <c r="X36" i="4"/>
  <c r="X37" i="4"/>
  <c r="X42" i="4" s="1"/>
  <c r="X38" i="4"/>
  <c r="X39" i="4" s="1"/>
  <c r="X40" i="4"/>
  <c r="X43" i="4" s="1"/>
  <c r="X46" i="4"/>
  <c r="X49" i="4"/>
  <c r="X54" i="4" s="1"/>
  <c r="X50" i="4"/>
  <c r="X51" i="4"/>
  <c r="X52" i="4"/>
  <c r="X53" i="4"/>
  <c r="X9" i="4"/>
  <c r="X45" i="4" l="1"/>
  <c r="W36" i="4"/>
  <c r="W46" i="4" s="1"/>
  <c r="W60" i="4" s="1"/>
  <c r="W37" i="4"/>
  <c r="W38" i="4"/>
  <c r="W40" i="4"/>
  <c r="W43" i="4" s="1"/>
  <c r="W49" i="4"/>
  <c r="W50" i="4"/>
  <c r="W51" i="4"/>
  <c r="W52" i="4"/>
  <c r="W53" i="4"/>
  <c r="W9" i="4"/>
  <c r="X47" i="4" l="1"/>
  <c r="W54" i="4"/>
  <c r="W39" i="4"/>
  <c r="W44" i="4"/>
  <c r="V36" i="4"/>
  <c r="V37" i="4"/>
  <c r="W42" i="4" s="1"/>
  <c r="V38" i="4"/>
  <c r="V40" i="4"/>
  <c r="V49" i="4"/>
  <c r="V50" i="4"/>
  <c r="V51" i="4"/>
  <c r="V52" i="4"/>
  <c r="V53" i="4"/>
  <c r="V9" i="4"/>
  <c r="W58" i="4" l="1"/>
  <c r="V43" i="4"/>
  <c r="V54" i="4"/>
  <c r="V39" i="4"/>
  <c r="W45" i="4" s="1"/>
  <c r="U40" i="4"/>
  <c r="U53" i="4"/>
  <c r="U52" i="4"/>
  <c r="U51" i="4"/>
  <c r="U50" i="4"/>
  <c r="U49" i="4"/>
  <c r="U38" i="4"/>
  <c r="V44" i="4" s="1"/>
  <c r="U37" i="4"/>
  <c r="U36" i="4"/>
  <c r="U9" i="4"/>
  <c r="W59" i="4" l="1"/>
  <c r="W61" i="4" s="1"/>
  <c r="W47" i="4"/>
  <c r="U43" i="4"/>
  <c r="V46" i="4"/>
  <c r="V60" i="4" s="1"/>
  <c r="V42" i="4"/>
  <c r="V45" i="4" s="1"/>
  <c r="V59" i="4" s="1"/>
  <c r="V58" i="4"/>
  <c r="U54" i="4"/>
  <c r="U39" i="4"/>
  <c r="T36" i="4"/>
  <c r="U46" i="4" s="1"/>
  <c r="U60" i="4" s="1"/>
  <c r="T37" i="4"/>
  <c r="T38" i="4"/>
  <c r="T39" i="4" s="1"/>
  <c r="T40" i="4"/>
  <c r="T49" i="4"/>
  <c r="T50" i="4"/>
  <c r="T51" i="4"/>
  <c r="T52" i="4"/>
  <c r="T53" i="4"/>
  <c r="T9" i="4"/>
  <c r="V61" i="4" l="1"/>
  <c r="V47" i="4"/>
  <c r="T54" i="4"/>
  <c r="T46" i="4"/>
  <c r="T60" i="4" s="1"/>
  <c r="U45" i="4"/>
  <c r="U59" i="4" s="1"/>
  <c r="U61" i="4" s="1"/>
  <c r="U44" i="4"/>
  <c r="U58" i="4" s="1"/>
  <c r="U42" i="4"/>
  <c r="S9" i="4"/>
  <c r="S36" i="4"/>
  <c r="S37" i="4"/>
  <c r="S38" i="4"/>
  <c r="S40" i="4"/>
  <c r="S49" i="4"/>
  <c r="S54" i="4" s="1"/>
  <c r="S50" i="4"/>
  <c r="S51" i="4"/>
  <c r="S52" i="4"/>
  <c r="S53" i="4"/>
  <c r="S43" i="4" l="1"/>
  <c r="T43" i="4"/>
  <c r="T44" i="4" s="1"/>
  <c r="U47" i="4"/>
  <c r="T42" i="4"/>
  <c r="T58" i="4"/>
  <c r="S39" i="4"/>
  <c r="R40" i="4"/>
  <c r="R9" i="4"/>
  <c r="R53" i="4"/>
  <c r="R52" i="4"/>
  <c r="R51" i="4"/>
  <c r="R50" i="4"/>
  <c r="R49" i="4"/>
  <c r="R38" i="4"/>
  <c r="S44" i="4" s="1"/>
  <c r="R37" i="4"/>
  <c r="R36" i="4"/>
  <c r="T45" i="4" l="1"/>
  <c r="S42" i="4"/>
  <c r="R46" i="4"/>
  <c r="R60" i="4" s="1"/>
  <c r="S46" i="4"/>
  <c r="S60" i="4" s="1"/>
  <c r="S58" i="4"/>
  <c r="R54" i="4"/>
  <c r="R39" i="4"/>
  <c r="S45" i="4" s="1"/>
  <c r="Q49" i="4"/>
  <c r="Q50" i="4"/>
  <c r="Q51" i="4"/>
  <c r="Q52" i="4"/>
  <c r="Q53" i="4"/>
  <c r="Q36" i="4"/>
  <c r="Q37" i="4"/>
  <c r="Q38" i="4"/>
  <c r="Q40" i="4"/>
  <c r="R43" i="4" s="1"/>
  <c r="R44" i="4" s="1"/>
  <c r="R58" i="4" s="1"/>
  <c r="Q9" i="4"/>
  <c r="S59" i="4" l="1"/>
  <c r="S61" i="4" s="1"/>
  <c r="S47" i="4"/>
  <c r="Q39" i="4"/>
  <c r="T59" i="4"/>
  <c r="T61" i="4" s="1"/>
  <c r="T47" i="4"/>
  <c r="Q54" i="4"/>
  <c r="R42" i="4"/>
  <c r="Q43" i="4"/>
  <c r="R45" i="4"/>
  <c r="R59" i="4" s="1"/>
  <c r="R61" i="4"/>
  <c r="P36" i="4"/>
  <c r="Q46" i="4" s="1"/>
  <c r="Q60" i="4" s="1"/>
  <c r="P37" i="4"/>
  <c r="P38" i="4"/>
  <c r="P40" i="4"/>
  <c r="P49" i="4"/>
  <c r="P50" i="4"/>
  <c r="P51" i="4"/>
  <c r="P52" i="4"/>
  <c r="P53" i="4"/>
  <c r="P9" i="4"/>
  <c r="Q42" i="4" l="1"/>
  <c r="P54" i="4"/>
  <c r="P46" i="4"/>
  <c r="P60" i="4" s="1"/>
  <c r="P39" i="4"/>
  <c r="R47" i="4"/>
  <c r="Q44" i="4"/>
  <c r="O49" i="4"/>
  <c r="O50" i="4"/>
  <c r="O51" i="4"/>
  <c r="O52" i="4"/>
  <c r="O53" i="4"/>
  <c r="O54" i="4"/>
  <c r="O36" i="4"/>
  <c r="O37" i="4"/>
  <c r="P42" i="4" s="1"/>
  <c r="O38" i="4"/>
  <c r="O39" i="4" s="1"/>
  <c r="O40" i="4"/>
  <c r="P43" i="4" s="1"/>
  <c r="O9" i="4"/>
  <c r="P45" i="4" l="1"/>
  <c r="P59" i="4" s="1"/>
  <c r="P44" i="4"/>
  <c r="Q45" i="4"/>
  <c r="Q59" i="4" s="1"/>
  <c r="Q47" i="4"/>
  <c r="Q58" i="4"/>
  <c r="Q61" i="4" s="1"/>
  <c r="N36" i="4"/>
  <c r="N37" i="4"/>
  <c r="O42" i="4" s="1"/>
  <c r="N38" i="4"/>
  <c r="N40" i="4"/>
  <c r="N49" i="4"/>
  <c r="N50" i="4"/>
  <c r="N51" i="4"/>
  <c r="N52" i="4"/>
  <c r="N53" i="4"/>
  <c r="N9" i="4"/>
  <c r="O43" i="4" l="1"/>
  <c r="O44" i="4" s="1"/>
  <c r="P47" i="4"/>
  <c r="P58" i="4"/>
  <c r="P61" i="4" s="1"/>
  <c r="O46" i="4"/>
  <c r="O60" i="4" s="1"/>
  <c r="N54" i="4"/>
  <c r="N39" i="4"/>
  <c r="O45" i="4" s="1"/>
  <c r="O59" i="4" s="1"/>
  <c r="N42" i="4"/>
  <c r="M49" i="4"/>
  <c r="M50" i="4"/>
  <c r="M51" i="4"/>
  <c r="M52" i="4"/>
  <c r="M53" i="4"/>
  <c r="M36" i="4"/>
  <c r="M37" i="4"/>
  <c r="M38" i="4"/>
  <c r="M40" i="4"/>
  <c r="M9" i="4"/>
  <c r="O47" i="4" l="1"/>
  <c r="O58" i="4"/>
  <c r="O61" i="4" s="1"/>
  <c r="M54" i="4"/>
  <c r="M46" i="4"/>
  <c r="M60" i="4" s="1"/>
  <c r="N46" i="4"/>
  <c r="N60" i="4" s="1"/>
  <c r="N43" i="4"/>
  <c r="N44" i="4" s="1"/>
  <c r="N58" i="4"/>
  <c r="M39" i="4"/>
  <c r="L9" i="4"/>
  <c r="L36" i="4"/>
  <c r="L37" i="4"/>
  <c r="L38" i="4"/>
  <c r="L40" i="4"/>
  <c r="M43" i="4" s="1"/>
  <c r="M44" i="4" s="1"/>
  <c r="M58" i="4" s="1"/>
  <c r="L49" i="4"/>
  <c r="L50" i="4"/>
  <c r="L51" i="4"/>
  <c r="L52" i="4"/>
  <c r="L53" i="4"/>
  <c r="N45" i="4" l="1"/>
  <c r="N59" i="4" s="1"/>
  <c r="N61" i="4" s="1"/>
  <c r="L44" i="4"/>
  <c r="L39" i="4"/>
  <c r="M45" i="4" s="1"/>
  <c r="M42" i="4"/>
  <c r="L54" i="4"/>
  <c r="N47" i="4"/>
  <c r="L58" i="4"/>
  <c r="K36" i="4"/>
  <c r="K37" i="4"/>
  <c r="K39" i="4" s="1"/>
  <c r="K38" i="4"/>
  <c r="K40" i="4"/>
  <c r="L43" i="4" s="1"/>
  <c r="K49" i="4"/>
  <c r="K50" i="4"/>
  <c r="K51" i="4"/>
  <c r="K52" i="4"/>
  <c r="K53" i="4"/>
  <c r="K9" i="4"/>
  <c r="M59" i="4" l="1"/>
  <c r="M61" i="4" s="1"/>
  <c r="M47" i="4"/>
  <c r="L42" i="4"/>
  <c r="L45" i="4" s="1"/>
  <c r="L59" i="4" s="1"/>
  <c r="L61" i="4" s="1"/>
  <c r="K46" i="4"/>
  <c r="K60" i="4" s="1"/>
  <c r="K54" i="4"/>
  <c r="K44" i="4"/>
  <c r="K58" i="4" s="1"/>
  <c r="L46" i="4"/>
  <c r="L60" i="4" s="1"/>
  <c r="J49" i="4"/>
  <c r="J54" i="4" s="1"/>
  <c r="J50" i="4"/>
  <c r="J51" i="4"/>
  <c r="J52" i="4"/>
  <c r="J53" i="4"/>
  <c r="J36" i="4"/>
  <c r="J37" i="4"/>
  <c r="K42" i="4" s="1"/>
  <c r="J38" i="4"/>
  <c r="J40" i="4"/>
  <c r="K43" i="4" s="1"/>
  <c r="J9" i="4"/>
  <c r="J39" i="4" l="1"/>
  <c r="K45" i="4" s="1"/>
  <c r="K59" i="4" s="1"/>
  <c r="L47" i="4"/>
  <c r="K61" i="4"/>
  <c r="I49" i="4"/>
  <c r="I50" i="4"/>
  <c r="I51" i="4"/>
  <c r="I52" i="4"/>
  <c r="I53" i="4"/>
  <c r="I36" i="4"/>
  <c r="I37" i="4"/>
  <c r="J42" i="4" s="1"/>
  <c r="I38" i="4"/>
  <c r="I40" i="4"/>
  <c r="I9" i="4"/>
  <c r="J43" i="4" l="1"/>
  <c r="J44" i="4" s="1"/>
  <c r="J58" i="4" s="1"/>
  <c r="I39" i="4"/>
  <c r="J45" i="4" s="1"/>
  <c r="K47" i="4"/>
  <c r="J46" i="4"/>
  <c r="J60" i="4" s="1"/>
  <c r="I54" i="4"/>
  <c r="H49" i="4"/>
  <c r="H50" i="4"/>
  <c r="H51" i="4"/>
  <c r="H52" i="4"/>
  <c r="H53" i="4"/>
  <c r="H36" i="4"/>
  <c r="H37" i="4"/>
  <c r="I42" i="4" s="1"/>
  <c r="H38" i="4"/>
  <c r="H40" i="4"/>
  <c r="I43" i="4" s="1"/>
  <c r="H9" i="4"/>
  <c r="H39" i="4" s="1"/>
  <c r="I44" i="4" l="1"/>
  <c r="I58" i="4" s="1"/>
  <c r="I46" i="4"/>
  <c r="I60" i="4" s="1"/>
  <c r="I45" i="4"/>
  <c r="I59" i="4" s="1"/>
  <c r="H54" i="4"/>
  <c r="J47" i="4"/>
  <c r="J59" i="4"/>
  <c r="J61" i="4"/>
  <c r="H42" i="4"/>
  <c r="I47" i="4"/>
  <c r="G53" i="4"/>
  <c r="G52" i="4"/>
  <c r="G51" i="4"/>
  <c r="G50" i="4"/>
  <c r="G49" i="4"/>
  <c r="G40" i="4"/>
  <c r="H43" i="4" s="1"/>
  <c r="G38" i="4"/>
  <c r="G37" i="4"/>
  <c r="G36" i="4"/>
  <c r="H46" i="4" s="1"/>
  <c r="H60" i="4" s="1"/>
  <c r="G9" i="4"/>
  <c r="G39" i="4" l="1"/>
  <c r="H45" i="4" s="1"/>
  <c r="H59" i="4" s="1"/>
  <c r="H44" i="4"/>
  <c r="I61" i="4"/>
  <c r="G43" i="4"/>
  <c r="G44" i="4" s="1"/>
  <c r="G58" i="4" s="1"/>
  <c r="G54" i="4"/>
  <c r="F49" i="4"/>
  <c r="F50" i="4"/>
  <c r="F51" i="4"/>
  <c r="F52" i="4"/>
  <c r="F53" i="4"/>
  <c r="F36" i="4"/>
  <c r="G46" i="4" s="1"/>
  <c r="G60" i="4" s="1"/>
  <c r="F37" i="4"/>
  <c r="G42" i="4" s="1"/>
  <c r="F38" i="4"/>
  <c r="F40" i="4"/>
  <c r="F9" i="4"/>
  <c r="F39" i="4" s="1"/>
  <c r="G45" i="4" s="1"/>
  <c r="G59" i="4" s="1"/>
  <c r="H47" i="4" l="1"/>
  <c r="H58" i="4"/>
  <c r="H61" i="4" s="1"/>
  <c r="F54" i="4"/>
  <c r="G61" i="4"/>
  <c r="G47" i="4"/>
  <c r="E9" i="4"/>
  <c r="E49" i="4"/>
  <c r="E50" i="4"/>
  <c r="E51" i="4"/>
  <c r="E52" i="4"/>
  <c r="E53" i="4"/>
  <c r="E36" i="4"/>
  <c r="F46" i="4" s="1"/>
  <c r="F60" i="4" s="1"/>
  <c r="E37" i="4"/>
  <c r="E38" i="4"/>
  <c r="E40" i="4"/>
  <c r="F43" i="4" s="1"/>
  <c r="E54" i="4" l="1"/>
  <c r="F44" i="4"/>
  <c r="F58" i="4" s="1"/>
  <c r="E39" i="4"/>
  <c r="F42" i="4"/>
  <c r="D53" i="4"/>
  <c r="D52" i="4"/>
  <c r="D51" i="4"/>
  <c r="D50" i="4"/>
  <c r="D49" i="4"/>
  <c r="E43" i="4"/>
  <c r="D37" i="4"/>
  <c r="D42" i="4" s="1"/>
  <c r="D36" i="4"/>
  <c r="D46" i="4" s="1"/>
  <c r="D60" i="4" s="1"/>
  <c r="D9" i="4"/>
  <c r="E44" i="4" l="1"/>
  <c r="E58" i="4"/>
  <c r="D43" i="4"/>
  <c r="D44" i="4" s="1"/>
  <c r="D58" i="4" s="1"/>
  <c r="D54" i="4"/>
  <c r="E46" i="4"/>
  <c r="E60" i="4" s="1"/>
  <c r="F45" i="4"/>
  <c r="E42" i="4"/>
  <c r="E45" i="4" s="1"/>
  <c r="E59" i="4" s="1"/>
  <c r="E61" i="4" l="1"/>
  <c r="F47" i="4"/>
  <c r="F59" i="4"/>
  <c r="F61" i="4" s="1"/>
  <c r="D45" i="4"/>
  <c r="D59" i="4" s="1"/>
  <c r="E47" i="4"/>
  <c r="D61" i="4"/>
  <c r="D47" i="4" l="1"/>
  <c r="AG36" i="3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<sst xmlns="http://schemas.openxmlformats.org/spreadsheetml/2006/main" count="298" uniqueCount="83">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</sst>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  <xf numFmtId="0" fontId="0" fillId="0" borderId="3" xfId="0" applyFill="1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0" fillId="0" borderId="2" xfId="0" applyNumberFormat="1" applyFill="1" applyBorder="1" applyAlignment="1">
      <alignment horizontal="center"/>
    </xf>
    <xf numFmtId="0" fontId="0" fillId="0" borderId="2" xfId="0" applyBorder="1" applyAlignment="1">
      <alignment horizontal="center" vertical="top"/>
    </xf>
    <xf numFmtId="1" fontId="12" fillId="11" borderId="1" xfId="0" applyNumberFormat="1" applyFont="1" applyFill="1" applyBorder="1" applyAlignment="1">
      <alignment horizontal="center"/>
    </xf>
    <xf numFmtId="1" fontId="12" fillId="11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A19" workbookViewId="0">
      <pane xSplit="2" topLeftCell="U1" activePane="topRight" state="frozen"/>
      <selection pane="topRight" activeCell="AK16" sqref="AK16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0.140625" style="42" bestFit="1" customWidth="1"/>
    <col min="4" max="4" width="10.140625" bestFit="1" customWidth="1"/>
    <col min="5" max="10" width="11.28515625" bestFit="1" customWidth="1"/>
    <col min="11" max="14" width="10.140625" bestFit="1" customWidth="1"/>
    <col min="15" max="17" width="11.28515625" bestFit="1" customWidth="1"/>
    <col min="18" max="18" width="10.140625" bestFit="1" customWidth="1"/>
    <col min="19" max="20" width="11.28515625" bestFit="1" customWidth="1"/>
    <col min="21" max="21" width="10.42578125" bestFit="1" customWidth="1"/>
    <col min="22" max="22" width="11.42578125" customWidth="1"/>
    <col min="23" max="23" width="10.140625" style="42" bestFit="1" customWidth="1"/>
    <col min="24" max="24" width="12.28515625" customWidth="1"/>
    <col min="25" max="25" width="13.7109375" customWidth="1"/>
    <col min="26" max="26" width="14.28515625" customWidth="1"/>
    <col min="27" max="27" width="13.5703125" customWidth="1"/>
    <col min="28" max="28" width="12.42578125" customWidth="1"/>
    <col min="29" max="29" width="11.85546875" customWidth="1"/>
    <col min="30" max="30" width="14.42578125" bestFit="1" customWidth="1"/>
    <col min="31" max="32" width="10.42578125" bestFit="1" customWidth="1"/>
    <col min="33" max="33" width="10.5703125" customWidth="1"/>
    <col min="34" max="34" width="10.42578125" bestFit="1" customWidth="1"/>
  </cols>
  <sheetData>
    <row r="1" spans="1:34" ht="23.25" x14ac:dyDescent="0.25">
      <c r="A1" s="2"/>
      <c r="B1" s="3">
        <v>46082</v>
      </c>
    </row>
    <row r="2" spans="1:34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>
        <v>46086</v>
      </c>
      <c r="I2" s="26">
        <v>46087</v>
      </c>
      <c r="J2" s="26">
        <v>46088</v>
      </c>
      <c r="K2" s="26">
        <v>46089</v>
      </c>
      <c r="L2" s="26">
        <v>46090</v>
      </c>
      <c r="M2" s="26">
        <v>46091</v>
      </c>
      <c r="N2" s="26">
        <v>46092</v>
      </c>
      <c r="O2" s="26">
        <v>46093</v>
      </c>
      <c r="P2" s="26">
        <v>46094</v>
      </c>
      <c r="Q2" s="26">
        <v>46095</v>
      </c>
      <c r="R2" s="26">
        <v>46096</v>
      </c>
      <c r="S2" s="26">
        <v>46097</v>
      </c>
      <c r="T2" s="26">
        <v>46098</v>
      </c>
      <c r="U2" s="26">
        <v>46099</v>
      </c>
      <c r="V2" s="26">
        <v>46100</v>
      </c>
      <c r="W2" s="26">
        <v>46101</v>
      </c>
      <c r="X2" s="26">
        <v>46102</v>
      </c>
      <c r="Y2" s="26">
        <v>46103</v>
      </c>
      <c r="Z2" s="26">
        <v>46104</v>
      </c>
      <c r="AA2" s="26">
        <v>46105</v>
      </c>
      <c r="AB2" s="26">
        <v>46106</v>
      </c>
      <c r="AC2" s="43">
        <v>46107</v>
      </c>
      <c r="AD2" s="26">
        <v>46108</v>
      </c>
      <c r="AE2" s="26">
        <v>46109</v>
      </c>
      <c r="AF2" s="26">
        <v>46110</v>
      </c>
      <c r="AG2" s="26">
        <v>46111</v>
      </c>
      <c r="AH2" s="26">
        <v>46112</v>
      </c>
    </row>
    <row r="3" spans="1:34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80"/>
      <c r="S3" s="80"/>
      <c r="T3" s="27"/>
      <c r="U3" s="27"/>
      <c r="V3" s="27"/>
      <c r="W3" s="39"/>
      <c r="X3" s="27"/>
      <c r="Y3" s="27"/>
      <c r="Z3" s="27"/>
      <c r="AD3" s="27"/>
      <c r="AE3" s="27"/>
      <c r="AF3" s="27"/>
      <c r="AG3" s="27"/>
      <c r="AH3" s="27"/>
    </row>
    <row r="4" spans="1:34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>
        <v>202967023</v>
      </c>
      <c r="I4" s="81">
        <v>202967023</v>
      </c>
      <c r="J4" s="82">
        <v>202967023</v>
      </c>
      <c r="K4" s="81">
        <v>202967023</v>
      </c>
      <c r="L4" s="82">
        <v>202967023</v>
      </c>
      <c r="M4" s="81">
        <v>202967023</v>
      </c>
      <c r="N4" s="82">
        <v>202967024</v>
      </c>
      <c r="O4" s="81">
        <v>202967024</v>
      </c>
      <c r="P4" s="82">
        <v>202967024</v>
      </c>
      <c r="Q4" s="81">
        <v>202967024</v>
      </c>
      <c r="R4" s="81">
        <v>202967024</v>
      </c>
      <c r="S4" s="81">
        <v>202967024</v>
      </c>
      <c r="T4" s="82">
        <v>202967024</v>
      </c>
      <c r="U4" s="82">
        <v>202967024</v>
      </c>
      <c r="V4" s="82">
        <v>202967025</v>
      </c>
      <c r="W4" s="82">
        <v>202967025</v>
      </c>
      <c r="X4" s="82">
        <v>202967025</v>
      </c>
      <c r="Y4" s="82">
        <v>202967025</v>
      </c>
      <c r="Z4" s="82">
        <v>202967025</v>
      </c>
      <c r="AA4" s="82">
        <v>202967026</v>
      </c>
      <c r="AB4" s="82">
        <v>202967026</v>
      </c>
      <c r="AC4" s="111">
        <v>202967026</v>
      </c>
      <c r="AD4" s="82">
        <v>202967027</v>
      </c>
      <c r="AE4" s="82">
        <v>202967027</v>
      </c>
      <c r="AF4" s="82">
        <v>202967027</v>
      </c>
      <c r="AG4" s="82">
        <v>202967027</v>
      </c>
      <c r="AH4" s="82">
        <v>202967028</v>
      </c>
    </row>
    <row r="5" spans="1:34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>
        <v>66497767</v>
      </c>
      <c r="I5" s="81">
        <v>66677409</v>
      </c>
      <c r="J5" s="82">
        <v>66867867</v>
      </c>
      <c r="K5" s="81">
        <v>67053136</v>
      </c>
      <c r="L5" s="82">
        <v>67246631</v>
      </c>
      <c r="M5" s="81">
        <v>67416791</v>
      </c>
      <c r="N5" s="82">
        <v>67589356</v>
      </c>
      <c r="O5" s="81">
        <v>67778217</v>
      </c>
      <c r="P5" s="82">
        <v>67965836</v>
      </c>
      <c r="Q5" s="81">
        <v>68127950</v>
      </c>
      <c r="R5" s="81">
        <v>68310870</v>
      </c>
      <c r="S5" s="81">
        <v>68516915</v>
      </c>
      <c r="T5" s="82">
        <v>68710369</v>
      </c>
      <c r="U5" s="82">
        <v>68913055</v>
      </c>
      <c r="V5" s="82">
        <v>69102298</v>
      </c>
      <c r="W5" s="82">
        <v>69286411</v>
      </c>
      <c r="X5" s="82">
        <v>69451372</v>
      </c>
      <c r="Y5" s="82">
        <v>69662773</v>
      </c>
      <c r="Z5" s="82">
        <v>69824596</v>
      </c>
      <c r="AA5" s="82">
        <v>70019781</v>
      </c>
      <c r="AB5" s="82">
        <v>70214914</v>
      </c>
      <c r="AC5" s="111">
        <v>70390562</v>
      </c>
      <c r="AD5" s="82">
        <v>70587280</v>
      </c>
      <c r="AE5" s="82">
        <v>70780870</v>
      </c>
      <c r="AF5" s="82">
        <v>70967853</v>
      </c>
      <c r="AG5" s="82">
        <v>71167650</v>
      </c>
      <c r="AH5" s="82">
        <v>71340380</v>
      </c>
    </row>
    <row r="6" spans="1:34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>
        <v>82991665</v>
      </c>
      <c r="I6" s="81">
        <v>83204951</v>
      </c>
      <c r="J6" s="82">
        <v>83429401</v>
      </c>
      <c r="K6" s="81">
        <v>83645603</v>
      </c>
      <c r="L6" s="82">
        <v>83855675</v>
      </c>
      <c r="M6" s="81">
        <v>84055773</v>
      </c>
      <c r="N6" s="82">
        <v>84261097</v>
      </c>
      <c r="O6" s="81">
        <v>84470699</v>
      </c>
      <c r="P6" s="82">
        <v>84663952</v>
      </c>
      <c r="Q6" s="81">
        <v>84862311</v>
      </c>
      <c r="R6" s="81">
        <v>85072791</v>
      </c>
      <c r="S6" s="81">
        <v>85302593</v>
      </c>
      <c r="T6" s="82">
        <v>85524350</v>
      </c>
      <c r="U6" s="82">
        <v>85762279</v>
      </c>
      <c r="V6" s="82">
        <v>85990716</v>
      </c>
      <c r="W6" s="82">
        <v>86202240</v>
      </c>
      <c r="X6" s="82">
        <v>86415487</v>
      </c>
      <c r="Y6" s="82">
        <v>86677933</v>
      </c>
      <c r="Z6" s="82">
        <v>86858234</v>
      </c>
      <c r="AA6" s="82">
        <v>87081789</v>
      </c>
      <c r="AB6" s="82">
        <v>87300298</v>
      </c>
      <c r="AC6" s="111">
        <v>87515148</v>
      </c>
      <c r="AD6" s="82">
        <v>87733806</v>
      </c>
      <c r="AE6" s="82">
        <v>87953694</v>
      </c>
      <c r="AF6" s="82">
        <v>88165886</v>
      </c>
      <c r="AG6" s="82">
        <v>88380727</v>
      </c>
      <c r="AH6" s="82">
        <v>88596359</v>
      </c>
    </row>
    <row r="7" spans="1:34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>
        <v>204979046</v>
      </c>
      <c r="I7" s="81">
        <v>205142260</v>
      </c>
      <c r="J7" s="82">
        <v>205306854</v>
      </c>
      <c r="K7" s="81">
        <v>205484774</v>
      </c>
      <c r="L7" s="82">
        <v>205670937</v>
      </c>
      <c r="M7" s="81">
        <v>205860261</v>
      </c>
      <c r="N7" s="82">
        <v>206050405</v>
      </c>
      <c r="O7" s="81">
        <v>206248335</v>
      </c>
      <c r="P7" s="82">
        <v>206414500</v>
      </c>
      <c r="Q7" s="81">
        <v>206601040</v>
      </c>
      <c r="R7" s="81">
        <v>206792917</v>
      </c>
      <c r="S7" s="81">
        <v>206974902</v>
      </c>
      <c r="T7" s="82">
        <v>207158079</v>
      </c>
      <c r="U7" s="82">
        <v>207333575</v>
      </c>
      <c r="V7" s="82">
        <v>207514736</v>
      </c>
      <c r="W7" s="82">
        <v>207695514</v>
      </c>
      <c r="X7" s="82">
        <v>207871421</v>
      </c>
      <c r="Y7" s="82">
        <v>208088001</v>
      </c>
      <c r="Z7" s="82">
        <v>208236937</v>
      </c>
      <c r="AA7" s="82">
        <v>208417633</v>
      </c>
      <c r="AB7" s="82">
        <v>208600199</v>
      </c>
      <c r="AC7" s="111">
        <v>208782027</v>
      </c>
      <c r="AD7" s="82">
        <v>208964358</v>
      </c>
      <c r="AE7" s="82">
        <v>209149558</v>
      </c>
      <c r="AF7" s="82">
        <v>209332634</v>
      </c>
      <c r="AG7" s="82">
        <v>209527069</v>
      </c>
      <c r="AH7" s="82">
        <v>209687679</v>
      </c>
    </row>
    <row r="8" spans="1:34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>
        <v>163238583</v>
      </c>
      <c r="I8" s="81">
        <v>163238591</v>
      </c>
      <c r="J8" s="82">
        <v>163238599</v>
      </c>
      <c r="K8" s="81">
        <v>163238608</v>
      </c>
      <c r="L8" s="82">
        <v>163238617</v>
      </c>
      <c r="M8" s="81">
        <v>163238623</v>
      </c>
      <c r="N8" s="82">
        <v>163238624</v>
      </c>
      <c r="O8" s="81">
        <v>163238626</v>
      </c>
      <c r="P8" s="82">
        <v>163238637</v>
      </c>
      <c r="Q8" s="81">
        <v>163238647</v>
      </c>
      <c r="R8" s="81">
        <v>163238652</v>
      </c>
      <c r="S8" s="81">
        <v>163238660</v>
      </c>
      <c r="T8" s="82">
        <v>163238669</v>
      </c>
      <c r="U8" s="82">
        <v>163238684</v>
      </c>
      <c r="V8" s="82">
        <v>163238700</v>
      </c>
      <c r="W8" s="82">
        <v>163238709</v>
      </c>
      <c r="X8" s="82">
        <v>163238733</v>
      </c>
      <c r="Y8" s="82">
        <v>163238757</v>
      </c>
      <c r="Z8" s="82">
        <v>163238778</v>
      </c>
      <c r="AA8" s="82">
        <v>163238801</v>
      </c>
      <c r="AB8" s="82">
        <v>163238822</v>
      </c>
      <c r="AC8" s="111">
        <v>163238833</v>
      </c>
      <c r="AD8" s="82">
        <v>163238848</v>
      </c>
      <c r="AE8" s="82">
        <v>163238866</v>
      </c>
      <c r="AF8" s="82">
        <v>163238885</v>
      </c>
      <c r="AG8" s="82">
        <v>163238905</v>
      </c>
      <c r="AH8" s="82">
        <v>163238917</v>
      </c>
    </row>
    <row r="9" spans="1:34" ht="15.75" x14ac:dyDescent="0.25">
      <c r="A9" s="9" t="s">
        <v>11</v>
      </c>
      <c r="B9" s="9"/>
      <c r="C9" s="68">
        <v>717619330</v>
      </c>
      <c r="D9" s="68">
        <f t="shared" ref="D9:F9" si="0">SUM(D4:D8)</f>
        <v>718262986</v>
      </c>
      <c r="E9" s="68">
        <f t="shared" si="0"/>
        <v>718817043</v>
      </c>
      <c r="F9" s="68">
        <f t="shared" si="0"/>
        <v>719417630</v>
      </c>
      <c r="G9" s="68">
        <f t="shared" ref="G9:T9" si="1">SUM(G4:G8)</f>
        <v>720021355</v>
      </c>
      <c r="H9" s="68">
        <f t="shared" si="1"/>
        <v>720674084</v>
      </c>
      <c r="I9" s="68">
        <f t="shared" si="1"/>
        <v>721230234</v>
      </c>
      <c r="J9" s="68">
        <f t="shared" si="1"/>
        <v>721809744</v>
      </c>
      <c r="K9" s="68">
        <f t="shared" si="1"/>
        <v>722389144</v>
      </c>
      <c r="L9" s="68">
        <f t="shared" si="1"/>
        <v>722978883</v>
      </c>
      <c r="M9" s="68">
        <f t="shared" si="1"/>
        <v>723538471</v>
      </c>
      <c r="N9" s="68">
        <f t="shared" si="1"/>
        <v>724106506</v>
      </c>
      <c r="O9" s="68">
        <f t="shared" si="1"/>
        <v>724702901</v>
      </c>
      <c r="P9" s="68">
        <f t="shared" si="1"/>
        <v>725249949</v>
      </c>
      <c r="Q9" s="68">
        <f t="shared" si="1"/>
        <v>725796972</v>
      </c>
      <c r="R9" s="68">
        <f t="shared" si="1"/>
        <v>726382254</v>
      </c>
      <c r="S9" s="68">
        <f t="shared" si="1"/>
        <v>727000094</v>
      </c>
      <c r="T9" s="68">
        <f t="shared" si="1"/>
        <v>727598491</v>
      </c>
      <c r="U9" s="68">
        <f t="shared" ref="U9" si="2">SUM(U4:U8)</f>
        <v>728214617</v>
      </c>
      <c r="V9" s="68">
        <f t="shared" ref="V9:AH9" si="3">SUM(V4:V8)</f>
        <v>728813475</v>
      </c>
      <c r="W9" s="68">
        <f t="shared" si="3"/>
        <v>729389899</v>
      </c>
      <c r="X9" s="68">
        <f t="shared" si="3"/>
        <v>729944038</v>
      </c>
      <c r="Y9" s="68">
        <f t="shared" si="3"/>
        <v>730634489</v>
      </c>
      <c r="Z9" s="68">
        <f t="shared" si="3"/>
        <v>731125570</v>
      </c>
      <c r="AA9" s="68">
        <f t="shared" si="3"/>
        <v>731725030</v>
      </c>
      <c r="AB9" s="68">
        <f t="shared" si="3"/>
        <v>732321259</v>
      </c>
      <c r="AC9" s="96">
        <f t="shared" si="3"/>
        <v>732893596</v>
      </c>
      <c r="AD9" s="68">
        <f t="shared" si="3"/>
        <v>733491319</v>
      </c>
      <c r="AE9" s="68">
        <f t="shared" si="3"/>
        <v>734090015</v>
      </c>
      <c r="AF9" s="68">
        <f t="shared" si="3"/>
        <v>734672285</v>
      </c>
      <c r="AG9" s="68">
        <f t="shared" si="3"/>
        <v>735281378</v>
      </c>
      <c r="AH9" s="68">
        <f t="shared" si="3"/>
        <v>735830363</v>
      </c>
    </row>
    <row r="10" spans="1:34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39"/>
      <c r="S10" s="39"/>
      <c r="T10" s="27"/>
      <c r="U10" s="27"/>
      <c r="V10" s="27"/>
      <c r="W10" s="39"/>
      <c r="X10" s="27"/>
      <c r="Y10" s="27"/>
      <c r="Z10" s="27"/>
      <c r="AA10" s="27"/>
      <c r="AB10" s="27"/>
      <c r="AC10" s="46"/>
      <c r="AD10" s="27"/>
      <c r="AE10" s="27"/>
      <c r="AF10" s="27"/>
      <c r="AG10" s="27"/>
      <c r="AH10" s="27"/>
    </row>
    <row r="11" spans="1:34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>
        <v>194168197</v>
      </c>
      <c r="I11" s="41">
        <v>194270563</v>
      </c>
      <c r="J11" s="82">
        <v>194394255</v>
      </c>
      <c r="K11" s="41">
        <v>194554311</v>
      </c>
      <c r="L11" s="82">
        <v>194665208</v>
      </c>
      <c r="M11" s="41">
        <v>194753345</v>
      </c>
      <c r="N11" s="82">
        <v>194842773</v>
      </c>
      <c r="O11" s="41">
        <v>194943641</v>
      </c>
      <c r="P11" s="82">
        <v>195064683</v>
      </c>
      <c r="Q11" s="41">
        <v>195160532</v>
      </c>
      <c r="R11" s="41">
        <v>195290748</v>
      </c>
      <c r="S11" s="41">
        <v>195448842</v>
      </c>
      <c r="T11" s="82">
        <v>195583445</v>
      </c>
      <c r="U11" s="82">
        <v>195743888</v>
      </c>
      <c r="V11" s="82">
        <v>195846005</v>
      </c>
      <c r="W11" s="82">
        <v>195950706</v>
      </c>
      <c r="X11" s="82">
        <v>196028959</v>
      </c>
      <c r="Y11" s="82">
        <v>196166754</v>
      </c>
      <c r="Z11" s="82">
        <v>196316105</v>
      </c>
      <c r="AA11" s="82">
        <v>196481402</v>
      </c>
      <c r="AB11" s="82">
        <v>196627702</v>
      </c>
      <c r="AC11" s="111">
        <v>196752472</v>
      </c>
      <c r="AD11" s="82">
        <v>196934764</v>
      </c>
      <c r="AE11" s="82">
        <v>197078887</v>
      </c>
      <c r="AF11" s="82">
        <v>197215106</v>
      </c>
      <c r="AG11" s="82">
        <v>197366395</v>
      </c>
      <c r="AH11" s="82">
        <v>197468917</v>
      </c>
    </row>
    <row r="12" spans="1:34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>
        <v>152218580</v>
      </c>
      <c r="I12" s="41">
        <v>152309194</v>
      </c>
      <c r="J12" s="82">
        <v>152416937</v>
      </c>
      <c r="K12" s="41">
        <v>152580665</v>
      </c>
      <c r="L12" s="82">
        <v>152704106</v>
      </c>
      <c r="M12" s="41">
        <v>152792711</v>
      </c>
      <c r="N12" s="82">
        <v>152863832</v>
      </c>
      <c r="O12" s="41">
        <v>152944193</v>
      </c>
      <c r="P12" s="82">
        <v>153047878</v>
      </c>
      <c r="Q12" s="41">
        <v>153123077</v>
      </c>
      <c r="R12" s="41">
        <v>153233436</v>
      </c>
      <c r="S12" s="41">
        <v>153336937</v>
      </c>
      <c r="T12" s="82">
        <v>153458712</v>
      </c>
      <c r="U12" s="82">
        <v>153581904</v>
      </c>
      <c r="V12" s="82">
        <v>153682869</v>
      </c>
      <c r="W12" s="39">
        <v>153786191</v>
      </c>
      <c r="X12" s="82">
        <v>153917728</v>
      </c>
      <c r="Y12" s="82">
        <v>154080871</v>
      </c>
      <c r="Z12" s="82">
        <v>154197518</v>
      </c>
      <c r="AA12" s="82">
        <v>154331758</v>
      </c>
      <c r="AB12" s="82">
        <v>154486360</v>
      </c>
      <c r="AC12" s="111">
        <v>154636456</v>
      </c>
      <c r="AD12" s="82">
        <v>154778006</v>
      </c>
      <c r="AE12" s="82">
        <v>154940524</v>
      </c>
      <c r="AF12" s="82">
        <v>155079394</v>
      </c>
      <c r="AG12" s="82">
        <v>155208238</v>
      </c>
      <c r="AH12" s="82">
        <v>155289549</v>
      </c>
    </row>
    <row r="13" spans="1:34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39"/>
      <c r="S13" s="39"/>
      <c r="T13" s="27"/>
      <c r="U13" s="27"/>
      <c r="V13" s="27"/>
      <c r="W13" s="39"/>
      <c r="X13" s="27"/>
      <c r="Y13" s="27"/>
      <c r="Z13" s="27"/>
      <c r="AA13" s="27"/>
      <c r="AB13" s="27"/>
      <c r="AC13" s="46"/>
      <c r="AD13" s="27"/>
      <c r="AE13" s="27"/>
      <c r="AF13" s="27"/>
      <c r="AG13" s="27"/>
      <c r="AH13" s="27"/>
    </row>
    <row r="14" spans="1:34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>
        <v>14823336</v>
      </c>
      <c r="I14" s="41">
        <v>14830653</v>
      </c>
      <c r="J14" s="41">
        <v>14838667</v>
      </c>
      <c r="K14" s="41">
        <v>14846216</v>
      </c>
      <c r="L14" s="41">
        <v>14854179</v>
      </c>
      <c r="M14" s="41">
        <v>14861636</v>
      </c>
      <c r="N14" s="41">
        <v>14869325</v>
      </c>
      <c r="O14" s="41">
        <v>14880591</v>
      </c>
      <c r="P14" s="41">
        <v>14891401</v>
      </c>
      <c r="Q14" s="41">
        <v>14901144</v>
      </c>
      <c r="R14" s="41">
        <v>14912075</v>
      </c>
      <c r="S14" s="41">
        <v>14923457</v>
      </c>
      <c r="T14" s="41">
        <v>14934413</v>
      </c>
      <c r="U14" s="41">
        <v>14945170</v>
      </c>
      <c r="V14" s="41">
        <v>14956390</v>
      </c>
      <c r="W14" s="41">
        <v>14966934</v>
      </c>
      <c r="X14" s="41">
        <v>14976525</v>
      </c>
      <c r="Y14" s="41">
        <v>14989644</v>
      </c>
      <c r="Z14" s="41">
        <v>14999329</v>
      </c>
      <c r="AA14" s="41">
        <v>15010906</v>
      </c>
      <c r="AB14" s="41">
        <v>15022498</v>
      </c>
      <c r="AC14" s="44">
        <v>15034064</v>
      </c>
      <c r="AD14" s="41">
        <v>15045773</v>
      </c>
      <c r="AE14" s="41">
        <v>15056822</v>
      </c>
      <c r="AF14" s="41">
        <v>15067723</v>
      </c>
      <c r="AG14" s="41">
        <v>15078642</v>
      </c>
      <c r="AH14" s="41">
        <v>15088372</v>
      </c>
    </row>
    <row r="15" spans="1:34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>
        <v>13624793</v>
      </c>
      <c r="I15" s="41">
        <v>13638883</v>
      </c>
      <c r="J15" s="41">
        <v>13654011</v>
      </c>
      <c r="K15" s="41">
        <v>13668625</v>
      </c>
      <c r="L15" s="41">
        <v>13683823</v>
      </c>
      <c r="M15" s="41">
        <v>13698656</v>
      </c>
      <c r="N15" s="41">
        <v>13708278</v>
      </c>
      <c r="O15" s="41">
        <v>13720133</v>
      </c>
      <c r="P15" s="41">
        <v>13731474</v>
      </c>
      <c r="Q15" s="41">
        <v>13742060</v>
      </c>
      <c r="R15" s="41">
        <v>13754032</v>
      </c>
      <c r="S15" s="41">
        <v>13766461</v>
      </c>
      <c r="T15" s="41">
        <v>13778425</v>
      </c>
      <c r="U15" s="41">
        <v>13790776</v>
      </c>
      <c r="V15" s="41">
        <v>13803284</v>
      </c>
      <c r="W15" s="41">
        <v>13815223</v>
      </c>
      <c r="X15" s="41">
        <v>13827319</v>
      </c>
      <c r="Y15" s="41">
        <v>13841240</v>
      </c>
      <c r="Z15" s="41">
        <v>13851220</v>
      </c>
      <c r="AA15" s="41">
        <v>13863045</v>
      </c>
      <c r="AB15" s="41">
        <v>13874884</v>
      </c>
      <c r="AC15" s="44">
        <v>13886747</v>
      </c>
      <c r="AD15" s="41">
        <v>13898572</v>
      </c>
      <c r="AE15" s="41">
        <v>13909686</v>
      </c>
      <c r="AF15" s="41">
        <v>13920669</v>
      </c>
      <c r="AG15" s="41">
        <v>13931857</v>
      </c>
      <c r="AH15" s="41">
        <v>13942749</v>
      </c>
    </row>
    <row r="16" spans="1:34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>
        <v>4605476</v>
      </c>
      <c r="I16" s="41">
        <v>4605578</v>
      </c>
      <c r="J16" s="41">
        <v>4605688</v>
      </c>
      <c r="K16" s="41">
        <v>4605798</v>
      </c>
      <c r="L16" s="41">
        <v>4605911</v>
      </c>
      <c r="M16" s="41">
        <v>4606022</v>
      </c>
      <c r="N16" s="41">
        <v>4606135</v>
      </c>
      <c r="O16" s="41">
        <v>4606247</v>
      </c>
      <c r="P16" s="41">
        <v>4606356</v>
      </c>
      <c r="Q16" s="41">
        <v>4606469</v>
      </c>
      <c r="R16" s="41">
        <v>4606582</v>
      </c>
      <c r="S16" s="41">
        <v>4606695</v>
      </c>
      <c r="T16" s="41">
        <v>4606803</v>
      </c>
      <c r="U16" s="41">
        <v>4606915</v>
      </c>
      <c r="V16" s="41">
        <v>4607029</v>
      </c>
      <c r="W16" s="41">
        <v>4607137</v>
      </c>
      <c r="X16" s="41">
        <v>4607251</v>
      </c>
      <c r="Y16" s="41">
        <v>4607381</v>
      </c>
      <c r="Z16" s="41">
        <v>4607475</v>
      </c>
      <c r="AA16" s="41">
        <v>4607585</v>
      </c>
      <c r="AB16" s="41">
        <v>4607696</v>
      </c>
      <c r="AC16" s="44">
        <v>4607808</v>
      </c>
      <c r="AD16" s="41">
        <v>4607920</v>
      </c>
      <c r="AE16" s="41">
        <v>4608031</v>
      </c>
      <c r="AF16" s="41">
        <v>4608141</v>
      </c>
      <c r="AG16" s="41">
        <v>4608253</v>
      </c>
      <c r="AH16" s="41">
        <v>4608366</v>
      </c>
    </row>
    <row r="17" spans="1:34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39"/>
      <c r="S17" s="39"/>
      <c r="T17" s="27"/>
      <c r="U17" s="27"/>
      <c r="V17" s="27"/>
      <c r="W17" s="39"/>
      <c r="X17" s="27"/>
      <c r="Y17" s="27"/>
      <c r="Z17" s="27"/>
      <c r="AA17" s="27"/>
      <c r="AB17" s="27"/>
      <c r="AC17" s="46"/>
      <c r="AD17" s="27"/>
      <c r="AE17" s="27"/>
      <c r="AF17" s="27"/>
      <c r="AG17" s="27"/>
      <c r="AH17" s="27"/>
    </row>
    <row r="18" spans="1:34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>
        <v>9343338</v>
      </c>
      <c r="I18" s="41">
        <v>9353940</v>
      </c>
      <c r="J18" s="41">
        <v>9365215</v>
      </c>
      <c r="K18" s="41">
        <v>9376148</v>
      </c>
      <c r="L18" s="41">
        <v>9387323</v>
      </c>
      <c r="M18" s="41">
        <v>9395874</v>
      </c>
      <c r="N18" s="41">
        <v>9410130</v>
      </c>
      <c r="O18" s="41">
        <v>9424808</v>
      </c>
      <c r="P18" s="41">
        <v>9438895</v>
      </c>
      <c r="Q18" s="41">
        <v>9453254</v>
      </c>
      <c r="R18" s="41">
        <v>9467898</v>
      </c>
      <c r="S18" s="41">
        <v>9482635</v>
      </c>
      <c r="T18" s="41">
        <v>9494457</v>
      </c>
      <c r="U18" s="41">
        <v>9506034</v>
      </c>
      <c r="V18" s="41">
        <v>9517586</v>
      </c>
      <c r="W18" s="41">
        <v>9528478</v>
      </c>
      <c r="X18" s="41">
        <v>9540019</v>
      </c>
      <c r="Y18" s="41">
        <v>9553384</v>
      </c>
      <c r="Z18" s="41">
        <v>9562980</v>
      </c>
      <c r="AA18" s="41">
        <v>9574323</v>
      </c>
      <c r="AB18" s="41">
        <v>9585828</v>
      </c>
      <c r="AC18" s="44">
        <v>9596731</v>
      </c>
      <c r="AD18" s="41">
        <v>9607502</v>
      </c>
      <c r="AE18" s="41">
        <v>9618963</v>
      </c>
      <c r="AF18" s="41">
        <v>9630247</v>
      </c>
      <c r="AG18" s="41">
        <v>9641906</v>
      </c>
      <c r="AH18" s="41">
        <v>9652874</v>
      </c>
    </row>
    <row r="19" spans="1:34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>
        <v>15592802</v>
      </c>
      <c r="I19" s="41">
        <v>15605103</v>
      </c>
      <c r="J19" s="41">
        <v>15618317</v>
      </c>
      <c r="K19" s="41">
        <v>15631312</v>
      </c>
      <c r="L19" s="41">
        <v>15644596</v>
      </c>
      <c r="M19" s="41">
        <v>15654275</v>
      </c>
      <c r="N19" s="41">
        <v>15664119</v>
      </c>
      <c r="O19" s="41">
        <v>15674385</v>
      </c>
      <c r="P19" s="41">
        <v>15684255</v>
      </c>
      <c r="Q19" s="41">
        <v>15694502</v>
      </c>
      <c r="R19" s="41">
        <v>15704867</v>
      </c>
      <c r="S19" s="41">
        <v>15715160</v>
      </c>
      <c r="T19" s="41">
        <v>15727510</v>
      </c>
      <c r="U19" s="41">
        <v>15740990</v>
      </c>
      <c r="V19" s="41">
        <v>15754245</v>
      </c>
      <c r="W19" s="41">
        <v>15766944</v>
      </c>
      <c r="X19" s="41">
        <v>15780392</v>
      </c>
      <c r="Y19" s="41">
        <v>15796069</v>
      </c>
      <c r="Z19" s="41">
        <v>15807261</v>
      </c>
      <c r="AA19" s="41">
        <v>15820534</v>
      </c>
      <c r="AB19" s="41">
        <v>15833858</v>
      </c>
      <c r="AC19" s="44">
        <v>15846486</v>
      </c>
      <c r="AD19" s="41">
        <v>15858961</v>
      </c>
      <c r="AE19" s="41">
        <v>15872353</v>
      </c>
      <c r="AF19" s="41">
        <v>15885540</v>
      </c>
      <c r="AG19" s="41">
        <v>15899211</v>
      </c>
      <c r="AH19" s="41">
        <v>15911946</v>
      </c>
    </row>
    <row r="20" spans="1:34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>
        <v>5568701</v>
      </c>
      <c r="I20" s="41">
        <v>5568797</v>
      </c>
      <c r="J20" s="41">
        <v>5568902</v>
      </c>
      <c r="K20" s="41">
        <v>5569006</v>
      </c>
      <c r="L20" s="41">
        <v>5569114</v>
      </c>
      <c r="M20" s="41">
        <v>5569221</v>
      </c>
      <c r="N20" s="41">
        <v>5569328</v>
      </c>
      <c r="O20" s="41">
        <v>5569435</v>
      </c>
      <c r="P20" s="41">
        <v>5569539</v>
      </c>
      <c r="Q20" s="41">
        <v>5569647</v>
      </c>
      <c r="R20" s="41">
        <v>5569754</v>
      </c>
      <c r="S20" s="41">
        <v>5569862</v>
      </c>
      <c r="T20" s="41">
        <v>5569965</v>
      </c>
      <c r="U20" s="41">
        <v>5570071</v>
      </c>
      <c r="V20" s="41">
        <v>5570180</v>
      </c>
      <c r="W20" s="41">
        <v>5570283</v>
      </c>
      <c r="X20" s="41">
        <v>5570392</v>
      </c>
      <c r="Y20" s="41">
        <v>5570516</v>
      </c>
      <c r="Z20" s="41">
        <v>5570605</v>
      </c>
      <c r="AA20" s="41">
        <v>5570710</v>
      </c>
      <c r="AB20" s="41">
        <v>5570815</v>
      </c>
      <c r="AC20" s="44">
        <v>5570922</v>
      </c>
      <c r="AD20" s="41">
        <v>5571028</v>
      </c>
      <c r="AE20" s="41">
        <v>5571134</v>
      </c>
      <c r="AF20" s="41">
        <v>5571239</v>
      </c>
      <c r="AG20" s="41">
        <v>5571346</v>
      </c>
      <c r="AH20" s="41">
        <v>5571453</v>
      </c>
    </row>
    <row r="21" spans="1:34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>
        <v>709726</v>
      </c>
      <c r="I21" s="41">
        <v>710146</v>
      </c>
      <c r="J21" s="41">
        <v>710180</v>
      </c>
      <c r="K21" s="41">
        <v>710214</v>
      </c>
      <c r="L21" s="41">
        <v>710869</v>
      </c>
      <c r="M21" s="41">
        <v>711495</v>
      </c>
      <c r="N21" s="41">
        <v>711954</v>
      </c>
      <c r="O21" s="41">
        <v>711988</v>
      </c>
      <c r="P21" s="41">
        <v>712021</v>
      </c>
      <c r="Q21" s="41">
        <v>712054</v>
      </c>
      <c r="R21" s="41">
        <v>712088</v>
      </c>
      <c r="S21" s="41">
        <v>713751</v>
      </c>
      <c r="T21" s="41">
        <v>714692</v>
      </c>
      <c r="U21" s="41">
        <v>717290</v>
      </c>
      <c r="V21" s="41">
        <v>717325</v>
      </c>
      <c r="W21" s="41">
        <v>717357</v>
      </c>
      <c r="X21" s="41">
        <v>717391</v>
      </c>
      <c r="Y21" s="41">
        <v>717431</v>
      </c>
      <c r="Z21" s="41">
        <v>718323</v>
      </c>
      <c r="AA21" s="41">
        <v>718356</v>
      </c>
      <c r="AB21" s="41">
        <v>718390</v>
      </c>
      <c r="AC21" s="44">
        <v>719125</v>
      </c>
      <c r="AD21" s="41">
        <v>721611</v>
      </c>
      <c r="AE21" s="41">
        <v>722873</v>
      </c>
      <c r="AF21" s="41">
        <v>723645</v>
      </c>
      <c r="AG21" s="41">
        <v>723679</v>
      </c>
      <c r="AH21" s="41">
        <v>723714</v>
      </c>
    </row>
    <row r="22" spans="1:34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>
        <v>736879</v>
      </c>
      <c r="I22" s="41">
        <v>737308</v>
      </c>
      <c r="J22" s="41">
        <v>737345</v>
      </c>
      <c r="K22" s="41">
        <v>737381</v>
      </c>
      <c r="L22" s="41">
        <v>738044</v>
      </c>
      <c r="M22" s="41">
        <v>738681</v>
      </c>
      <c r="N22" s="41">
        <v>739148</v>
      </c>
      <c r="O22" s="41">
        <v>739186</v>
      </c>
      <c r="P22" s="41">
        <v>739222</v>
      </c>
      <c r="Q22" s="41">
        <v>739259</v>
      </c>
      <c r="R22" s="41">
        <v>739296</v>
      </c>
      <c r="S22" s="41">
        <v>740988</v>
      </c>
      <c r="T22" s="41">
        <v>741939</v>
      </c>
      <c r="U22" s="41">
        <v>744579</v>
      </c>
      <c r="V22" s="41">
        <v>744617</v>
      </c>
      <c r="W22" s="41">
        <v>744653</v>
      </c>
      <c r="X22" s="41">
        <v>744690</v>
      </c>
      <c r="Y22" s="41">
        <v>744733</v>
      </c>
      <c r="Z22" s="41">
        <v>745640</v>
      </c>
      <c r="AA22" s="41">
        <v>745677</v>
      </c>
      <c r="AB22" s="41">
        <v>745713</v>
      </c>
      <c r="AC22" s="44">
        <v>746462</v>
      </c>
      <c r="AD22" s="41">
        <v>748975</v>
      </c>
      <c r="AE22" s="41">
        <v>750242</v>
      </c>
      <c r="AF22" s="41">
        <v>751010</v>
      </c>
      <c r="AG22" s="41">
        <v>751047</v>
      </c>
      <c r="AH22" s="41">
        <v>751084</v>
      </c>
    </row>
    <row r="23" spans="1:34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39"/>
      <c r="S23" s="39"/>
      <c r="T23" s="27"/>
      <c r="U23" s="27"/>
      <c r="V23" s="27"/>
      <c r="W23" s="39"/>
      <c r="X23" s="27"/>
      <c r="Y23" s="27"/>
      <c r="Z23" s="27"/>
      <c r="AA23" s="27"/>
      <c r="AB23" s="27"/>
      <c r="AC23" s="46"/>
      <c r="AD23" s="27"/>
      <c r="AE23" s="27"/>
      <c r="AF23" s="27"/>
      <c r="AG23" s="27"/>
      <c r="AH23" s="27"/>
    </row>
    <row r="24" spans="1:34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>
        <v>19307315</v>
      </c>
      <c r="I24" s="41">
        <v>19320570</v>
      </c>
      <c r="J24" s="41">
        <v>19333795</v>
      </c>
      <c r="K24" s="41">
        <v>19347004</v>
      </c>
      <c r="L24" s="41">
        <v>19361258</v>
      </c>
      <c r="M24" s="41">
        <v>19372566</v>
      </c>
      <c r="N24" s="41">
        <v>19384550</v>
      </c>
      <c r="O24" s="41">
        <v>19401004</v>
      </c>
      <c r="P24" s="41">
        <v>19416467</v>
      </c>
      <c r="Q24" s="41">
        <v>19428654</v>
      </c>
      <c r="R24" s="41">
        <v>19443685</v>
      </c>
      <c r="S24" s="41">
        <v>19458480</v>
      </c>
      <c r="T24" s="41">
        <v>19473056</v>
      </c>
      <c r="U24" s="41">
        <v>19486790</v>
      </c>
      <c r="V24" s="41">
        <v>19501622</v>
      </c>
      <c r="W24" s="41">
        <v>19514861</v>
      </c>
      <c r="X24" s="41">
        <v>19530394</v>
      </c>
      <c r="Y24" s="41">
        <v>19546917</v>
      </c>
      <c r="Z24" s="41">
        <v>19557472</v>
      </c>
      <c r="AA24" s="41">
        <v>19571355</v>
      </c>
      <c r="AB24" s="41">
        <v>19584579</v>
      </c>
      <c r="AC24" s="44">
        <v>19596810</v>
      </c>
      <c r="AD24" s="41">
        <v>19608920</v>
      </c>
      <c r="AE24" s="41">
        <v>19620612</v>
      </c>
      <c r="AF24" s="41">
        <v>19632154</v>
      </c>
      <c r="AG24" s="41">
        <v>19644637</v>
      </c>
      <c r="AH24" s="41">
        <v>19657162</v>
      </c>
    </row>
    <row r="25" spans="1:34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>
        <v>17001533</v>
      </c>
      <c r="I25" s="41">
        <v>17019034</v>
      </c>
      <c r="J25" s="41">
        <v>17036152</v>
      </c>
      <c r="K25" s="41">
        <v>17054450</v>
      </c>
      <c r="L25" s="41">
        <v>17072301</v>
      </c>
      <c r="M25" s="41">
        <v>17089793</v>
      </c>
      <c r="N25" s="41">
        <v>17104051</v>
      </c>
      <c r="O25" s="41">
        <v>17121255</v>
      </c>
      <c r="P25" s="41">
        <v>17136437</v>
      </c>
      <c r="Q25" s="41">
        <v>17152716</v>
      </c>
      <c r="R25" s="41">
        <v>17169010</v>
      </c>
      <c r="S25" s="41">
        <v>17185787</v>
      </c>
      <c r="T25" s="41">
        <v>17202587</v>
      </c>
      <c r="U25" s="41">
        <v>17217048</v>
      </c>
      <c r="V25" s="41">
        <v>17232669</v>
      </c>
      <c r="W25" s="41">
        <v>17248533</v>
      </c>
      <c r="X25" s="41">
        <v>17261175</v>
      </c>
      <c r="Y25" s="41">
        <v>17279635</v>
      </c>
      <c r="Z25" s="41">
        <v>17292658</v>
      </c>
      <c r="AA25" s="41">
        <v>17308069</v>
      </c>
      <c r="AB25" s="41">
        <v>17324993</v>
      </c>
      <c r="AC25" s="44">
        <v>17341357</v>
      </c>
      <c r="AD25" s="41">
        <v>17356063</v>
      </c>
      <c r="AE25" s="41">
        <v>17369622</v>
      </c>
      <c r="AF25" s="41">
        <v>17381889</v>
      </c>
      <c r="AG25" s="41">
        <v>17394863</v>
      </c>
      <c r="AH25" s="41">
        <v>17405608</v>
      </c>
    </row>
    <row r="26" spans="1:34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>
        <v>6179781</v>
      </c>
      <c r="I26" s="41">
        <v>6183245</v>
      </c>
      <c r="J26" s="41">
        <v>6186707</v>
      </c>
      <c r="K26" s="41">
        <v>6190101</v>
      </c>
      <c r="L26" s="41">
        <v>6193447</v>
      </c>
      <c r="M26" s="41">
        <v>6197938</v>
      </c>
      <c r="N26" s="41">
        <v>6201901</v>
      </c>
      <c r="O26" s="41">
        <v>6206099</v>
      </c>
      <c r="P26" s="41">
        <v>6210024</v>
      </c>
      <c r="Q26" s="41">
        <v>6213642</v>
      </c>
      <c r="R26" s="41">
        <v>6218522</v>
      </c>
      <c r="S26" s="41">
        <v>6222465</v>
      </c>
      <c r="T26" s="41">
        <v>6226261</v>
      </c>
      <c r="U26" s="41">
        <v>6231827</v>
      </c>
      <c r="V26" s="41">
        <v>6237649</v>
      </c>
      <c r="W26" s="41">
        <v>6243007</v>
      </c>
      <c r="X26" s="41">
        <v>6248725</v>
      </c>
      <c r="Y26" s="41">
        <v>6255105</v>
      </c>
      <c r="Z26" s="41">
        <v>6259714</v>
      </c>
      <c r="AA26" s="41">
        <v>6265019</v>
      </c>
      <c r="AB26" s="41">
        <v>6270202</v>
      </c>
      <c r="AC26" s="44">
        <v>6274800</v>
      </c>
      <c r="AD26" s="41">
        <v>6279870</v>
      </c>
      <c r="AE26" s="41">
        <v>6285182</v>
      </c>
      <c r="AF26" s="41">
        <v>6289413</v>
      </c>
      <c r="AG26" s="41">
        <v>6292850</v>
      </c>
      <c r="AH26" s="41">
        <v>6299052</v>
      </c>
    </row>
    <row r="27" spans="1:34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>
        <v>92915638</v>
      </c>
      <c r="I27" s="41">
        <v>92972180</v>
      </c>
      <c r="J27" s="41">
        <v>93030659</v>
      </c>
      <c r="K27" s="41">
        <v>93087813</v>
      </c>
      <c r="L27" s="41">
        <v>93145909</v>
      </c>
      <c r="M27" s="41">
        <v>93204089</v>
      </c>
      <c r="N27" s="41">
        <v>93262918</v>
      </c>
      <c r="O27" s="41">
        <v>93323312</v>
      </c>
      <c r="P27" s="41">
        <v>93375293</v>
      </c>
      <c r="Q27" s="41">
        <v>93434002</v>
      </c>
      <c r="R27" s="41">
        <v>93493569</v>
      </c>
      <c r="S27" s="41">
        <v>93554565</v>
      </c>
      <c r="T27" s="41">
        <v>93614820</v>
      </c>
      <c r="U27" s="41">
        <v>93676019</v>
      </c>
      <c r="V27" s="41">
        <v>93738757</v>
      </c>
      <c r="W27" s="41">
        <v>93797733</v>
      </c>
      <c r="X27" s="41">
        <v>93859619</v>
      </c>
      <c r="Y27" s="41">
        <v>93931080</v>
      </c>
      <c r="Z27" s="41">
        <v>93979847</v>
      </c>
      <c r="AA27" s="41">
        <v>94037716</v>
      </c>
      <c r="AB27" s="41">
        <v>94095935</v>
      </c>
      <c r="AC27" s="44">
        <v>94154149</v>
      </c>
      <c r="AD27" s="41">
        <v>94211992</v>
      </c>
      <c r="AE27" s="41">
        <v>94270042</v>
      </c>
      <c r="AF27" s="41">
        <v>94325974</v>
      </c>
      <c r="AG27" s="41">
        <v>94383701</v>
      </c>
      <c r="AH27" s="41">
        <v>94434844</v>
      </c>
    </row>
    <row r="28" spans="1:34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>
        <v>5400225</v>
      </c>
      <c r="I28" s="41">
        <v>5404538</v>
      </c>
      <c r="J28" s="41">
        <v>5408996</v>
      </c>
      <c r="K28" s="41">
        <v>5413303</v>
      </c>
      <c r="L28" s="41">
        <v>5417659</v>
      </c>
      <c r="M28" s="41">
        <v>5422097</v>
      </c>
      <c r="N28" s="41">
        <v>5426622</v>
      </c>
      <c r="O28" s="41">
        <v>5431155</v>
      </c>
      <c r="P28" s="41">
        <v>5434986</v>
      </c>
      <c r="Q28" s="41">
        <v>5439303</v>
      </c>
      <c r="R28" s="41">
        <v>5443728</v>
      </c>
      <c r="S28" s="41">
        <v>5448277</v>
      </c>
      <c r="T28" s="41">
        <v>5452676</v>
      </c>
      <c r="U28" s="41">
        <v>5457204</v>
      </c>
      <c r="V28" s="41">
        <v>5461884</v>
      </c>
      <c r="W28" s="41">
        <v>5466302</v>
      </c>
      <c r="X28" s="41">
        <v>5470736</v>
      </c>
      <c r="Y28" s="41">
        <v>5476014</v>
      </c>
      <c r="Z28" s="41">
        <v>5479643</v>
      </c>
      <c r="AA28" s="41">
        <v>5483955</v>
      </c>
      <c r="AB28" s="41">
        <v>5488245</v>
      </c>
      <c r="AC28" s="44">
        <v>5492581</v>
      </c>
      <c r="AD28" s="41">
        <v>5496976</v>
      </c>
      <c r="AE28" s="41">
        <v>5501369</v>
      </c>
      <c r="AF28" s="41">
        <v>5505714</v>
      </c>
      <c r="AG28" s="41">
        <v>5510275</v>
      </c>
      <c r="AH28" s="41">
        <v>5514408</v>
      </c>
    </row>
    <row r="29" spans="1:34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>
        <v>5612999</v>
      </c>
      <c r="I29" s="41">
        <v>5700508</v>
      </c>
      <c r="J29" s="41">
        <v>5791330</v>
      </c>
      <c r="K29" s="41">
        <v>5871142</v>
      </c>
      <c r="L29" s="41">
        <v>5952844</v>
      </c>
      <c r="M29" s="41">
        <v>6032534</v>
      </c>
      <c r="N29" s="41">
        <v>6115506</v>
      </c>
      <c r="O29" s="41">
        <v>6201376</v>
      </c>
      <c r="P29" s="41">
        <v>6281099</v>
      </c>
      <c r="Q29" s="41">
        <v>6362566</v>
      </c>
      <c r="R29" s="109">
        <v>6444576</v>
      </c>
      <c r="S29" s="41">
        <v>6548942</v>
      </c>
      <c r="T29" s="41">
        <v>6648686</v>
      </c>
      <c r="U29" s="41">
        <v>6755897</v>
      </c>
      <c r="V29" s="41">
        <v>6848888</v>
      </c>
      <c r="W29" s="41">
        <v>6937746</v>
      </c>
      <c r="X29" s="41">
        <v>7027481</v>
      </c>
      <c r="Y29" s="41">
        <v>7133101</v>
      </c>
      <c r="Z29" s="41">
        <v>7208406</v>
      </c>
      <c r="AA29" s="41">
        <v>7301220</v>
      </c>
      <c r="AB29" s="41">
        <v>7388159</v>
      </c>
      <c r="AC29" s="44">
        <v>7473337</v>
      </c>
      <c r="AD29" s="41">
        <v>7558492</v>
      </c>
      <c r="AE29" s="41">
        <v>7638809</v>
      </c>
      <c r="AF29" s="41">
        <v>7717154</v>
      </c>
      <c r="AG29" s="41">
        <v>7801943</v>
      </c>
      <c r="AH29" s="41">
        <v>7889984</v>
      </c>
    </row>
    <row r="30" spans="1:34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>
        <v>175730694</v>
      </c>
      <c r="I30" s="41">
        <v>175757098</v>
      </c>
      <c r="J30" s="41">
        <v>175781607</v>
      </c>
      <c r="K30" s="41">
        <v>175819757</v>
      </c>
      <c r="L30" s="41">
        <v>175859669</v>
      </c>
      <c r="M30" s="41">
        <v>175893497</v>
      </c>
      <c r="N30" s="41">
        <v>175931623</v>
      </c>
      <c r="O30" s="41">
        <v>175966648</v>
      </c>
      <c r="P30" s="41">
        <v>175999570</v>
      </c>
      <c r="Q30" s="41">
        <v>176033846</v>
      </c>
      <c r="R30" s="41">
        <v>176069462</v>
      </c>
      <c r="S30" s="41">
        <v>176090905</v>
      </c>
      <c r="T30" s="41">
        <v>176114212</v>
      </c>
      <c r="U30" s="41">
        <v>176132501</v>
      </c>
      <c r="V30" s="41">
        <v>176155239</v>
      </c>
      <c r="W30" s="41">
        <v>176182145</v>
      </c>
      <c r="X30" s="41">
        <v>176203263</v>
      </c>
      <c r="Y30" s="41">
        <v>176234591</v>
      </c>
      <c r="Z30" s="41">
        <v>176259024</v>
      </c>
      <c r="AA30" s="41">
        <v>176284897</v>
      </c>
      <c r="AB30" s="41">
        <v>176314890</v>
      </c>
      <c r="AC30" s="44">
        <v>176348733</v>
      </c>
      <c r="AD30" s="41">
        <v>176382218</v>
      </c>
      <c r="AE30" s="41">
        <v>176422494</v>
      </c>
      <c r="AF30" s="41">
        <v>176460708</v>
      </c>
      <c r="AG30" s="41">
        <v>176500630</v>
      </c>
      <c r="AH30" s="41">
        <v>176523669</v>
      </c>
    </row>
    <row r="31" spans="1:34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>
        <v>3047332</v>
      </c>
      <c r="I31" s="41">
        <v>3048101</v>
      </c>
      <c r="J31" s="41">
        <v>3048868</v>
      </c>
      <c r="K31" s="41">
        <v>3049618</v>
      </c>
      <c r="L31" s="41">
        <v>3056275</v>
      </c>
      <c r="M31" s="41">
        <v>3066835</v>
      </c>
      <c r="N31" s="41">
        <v>3076236</v>
      </c>
      <c r="O31" s="41">
        <v>3087173</v>
      </c>
      <c r="P31" s="41">
        <v>3096860</v>
      </c>
      <c r="Q31" s="41">
        <v>3107297</v>
      </c>
      <c r="R31" s="41">
        <v>3118190</v>
      </c>
      <c r="S31" s="41">
        <v>3128965</v>
      </c>
      <c r="T31" s="41">
        <v>3139463</v>
      </c>
      <c r="U31" s="41">
        <v>3148102</v>
      </c>
      <c r="V31" s="41">
        <v>3157835</v>
      </c>
      <c r="W31" s="41">
        <v>3167077</v>
      </c>
      <c r="X31" s="41">
        <v>3178851</v>
      </c>
      <c r="Y31" s="41">
        <v>3192249</v>
      </c>
      <c r="Z31" s="41">
        <v>3197418</v>
      </c>
      <c r="AA31" s="41">
        <v>3208230</v>
      </c>
      <c r="AB31" s="41">
        <v>3217807</v>
      </c>
      <c r="AC31" s="44">
        <v>3221292</v>
      </c>
      <c r="AD31" s="41">
        <v>3232614</v>
      </c>
      <c r="AE31" s="41">
        <v>3242820</v>
      </c>
      <c r="AF31" s="41">
        <v>3252345</v>
      </c>
      <c r="AG31" s="41">
        <v>3262338</v>
      </c>
      <c r="AH31" s="41">
        <v>3263256</v>
      </c>
    </row>
    <row r="32" spans="1:34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39"/>
      <c r="S32" s="39"/>
      <c r="T32" s="27"/>
      <c r="U32" s="27"/>
      <c r="V32" s="27"/>
      <c r="W32" s="39"/>
      <c r="X32" s="27"/>
      <c r="Y32" s="27"/>
      <c r="Z32" s="27"/>
      <c r="AA32" s="27"/>
      <c r="AB32" s="27"/>
      <c r="AC32" s="46"/>
      <c r="AD32" s="27"/>
      <c r="AE32" s="27"/>
      <c r="AF32" s="27"/>
      <c r="AG32" s="27"/>
      <c r="AH32" s="27"/>
    </row>
    <row r="33" spans="1:34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>
        <v>75820570</v>
      </c>
      <c r="I33" s="41">
        <v>75820571</v>
      </c>
      <c r="J33" s="41">
        <v>75820572</v>
      </c>
      <c r="K33" s="41">
        <v>75820573</v>
      </c>
      <c r="L33" s="41">
        <v>75820575</v>
      </c>
      <c r="M33" s="41">
        <v>75820577</v>
      </c>
      <c r="N33" s="41">
        <v>75820578</v>
      </c>
      <c r="O33" s="41">
        <v>75820579</v>
      </c>
      <c r="P33" s="41">
        <v>75820581</v>
      </c>
      <c r="Q33" s="41">
        <v>75820583</v>
      </c>
      <c r="R33" s="41">
        <v>75820585</v>
      </c>
      <c r="S33" s="41">
        <v>75820587</v>
      </c>
      <c r="T33" s="41">
        <v>75820589</v>
      </c>
      <c r="U33" s="41">
        <v>75820591</v>
      </c>
      <c r="V33" s="41">
        <v>75820593</v>
      </c>
      <c r="W33" s="41">
        <v>75820595</v>
      </c>
      <c r="X33" s="41">
        <v>75820597</v>
      </c>
      <c r="Y33" s="41">
        <v>75820597</v>
      </c>
      <c r="Z33" s="41">
        <v>75820602</v>
      </c>
      <c r="AA33" s="41">
        <v>75820604</v>
      </c>
      <c r="AB33" s="41">
        <v>75820607</v>
      </c>
      <c r="AC33" s="44">
        <v>75820604</v>
      </c>
      <c r="AD33" s="41">
        <v>75820611</v>
      </c>
      <c r="AE33" s="41">
        <v>75820613</v>
      </c>
      <c r="AF33" s="41">
        <v>75820616</v>
      </c>
      <c r="AG33" s="41">
        <v>75820618</v>
      </c>
      <c r="AH33" s="41">
        <v>75820621</v>
      </c>
    </row>
    <row r="34" spans="1:34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>
        <v>15041024</v>
      </c>
      <c r="I34" s="41">
        <v>15121566</v>
      </c>
      <c r="J34" s="41">
        <v>15208753</v>
      </c>
      <c r="K34" s="41">
        <v>15294889</v>
      </c>
      <c r="L34" s="41">
        <v>15373433</v>
      </c>
      <c r="M34" s="41">
        <v>15452610</v>
      </c>
      <c r="N34" s="41">
        <v>15536600</v>
      </c>
      <c r="O34" s="41">
        <v>15616067</v>
      </c>
      <c r="P34" s="41">
        <v>15689901</v>
      </c>
      <c r="Q34" s="41">
        <v>15771171</v>
      </c>
      <c r="R34" s="41">
        <v>15854962</v>
      </c>
      <c r="S34" s="41">
        <v>15938250</v>
      </c>
      <c r="T34" s="41">
        <v>16019263</v>
      </c>
      <c r="U34" s="41">
        <v>16103047</v>
      </c>
      <c r="V34" s="41">
        <v>16183308</v>
      </c>
      <c r="W34" s="41">
        <v>16255337</v>
      </c>
      <c r="X34" s="41">
        <v>16328336</v>
      </c>
      <c r="Y34" s="41">
        <v>16425830</v>
      </c>
      <c r="Z34" s="41">
        <v>16489097</v>
      </c>
      <c r="AA34" s="41">
        <v>16574444</v>
      </c>
      <c r="AB34" s="41">
        <v>16659038</v>
      </c>
      <c r="AC34" s="44">
        <v>16748836</v>
      </c>
      <c r="AD34" s="41">
        <v>16835395</v>
      </c>
      <c r="AE34" s="41">
        <v>16923508</v>
      </c>
      <c r="AF34" s="41">
        <v>17011802</v>
      </c>
      <c r="AG34" s="41">
        <v>17096036</v>
      </c>
      <c r="AH34" s="41">
        <v>17183782</v>
      </c>
    </row>
    <row r="35" spans="1:34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39"/>
      <c r="S35" s="39"/>
      <c r="T35" s="27"/>
      <c r="U35" s="27"/>
      <c r="V35" s="27"/>
      <c r="W35" s="39"/>
      <c r="X35" s="27"/>
      <c r="Y35" s="27"/>
      <c r="Z35" s="27"/>
      <c r="AA35" s="27"/>
      <c r="AB35" s="27"/>
      <c r="AC35" s="46"/>
      <c r="AD35" s="27"/>
      <c r="AE35" s="27"/>
      <c r="AF35" s="27"/>
      <c r="AG35" s="27"/>
      <c r="AH35" s="27"/>
    </row>
    <row r="36" spans="1:34" ht="15.75" x14ac:dyDescent="0.25">
      <c r="A36" s="11" t="s">
        <v>49</v>
      </c>
      <c r="B36" s="11"/>
      <c r="C36" s="69">
        <v>345429375</v>
      </c>
      <c r="D36" s="69">
        <f t="shared" ref="D36" si="4">SUM(D11:D12)</f>
        <v>345602759</v>
      </c>
      <c r="E36" s="69">
        <f>SUM(E11:E12)</f>
        <v>345755979</v>
      </c>
      <c r="F36" s="69">
        <f>SUM(F11:F12)</f>
        <v>345973424</v>
      </c>
      <c r="G36" s="69">
        <f t="shared" ref="G36:H36" si="5">SUM(G11:G12)</f>
        <v>346211166</v>
      </c>
      <c r="H36" s="69">
        <f t="shared" si="5"/>
        <v>346386777</v>
      </c>
      <c r="I36" s="69">
        <f t="shared" ref="I36:J36" si="6">SUM(I11:I12)</f>
        <v>346579757</v>
      </c>
      <c r="J36" s="69">
        <f t="shared" si="6"/>
        <v>346811192</v>
      </c>
      <c r="K36" s="69">
        <f t="shared" ref="K36:L36" si="7">SUM(K11:K12)</f>
        <v>347134976</v>
      </c>
      <c r="L36" s="69">
        <f t="shared" si="7"/>
        <v>347369314</v>
      </c>
      <c r="M36" s="69">
        <f t="shared" ref="M36:N36" si="8">SUM(M11:M12)</f>
        <v>347546056</v>
      </c>
      <c r="N36" s="69">
        <f t="shared" si="8"/>
        <v>347706605</v>
      </c>
      <c r="O36" s="69">
        <f t="shared" ref="O36:P36" si="9">SUM(O11:O12)</f>
        <v>347887834</v>
      </c>
      <c r="P36" s="69">
        <f t="shared" si="9"/>
        <v>348112561</v>
      </c>
      <c r="Q36" s="69">
        <f t="shared" ref="Q36:R36" si="10">SUM(Q11:Q12)</f>
        <v>348283609</v>
      </c>
      <c r="R36" s="69">
        <f t="shared" si="10"/>
        <v>348524184</v>
      </c>
      <c r="S36" s="69">
        <f t="shared" ref="S36:T36" si="11">SUM(S11:S12)</f>
        <v>348785779</v>
      </c>
      <c r="T36" s="69">
        <f t="shared" si="11"/>
        <v>349042157</v>
      </c>
      <c r="U36" s="69">
        <f t="shared" ref="U36:V36" si="12">SUM(U11:U12)</f>
        <v>349325792</v>
      </c>
      <c r="V36" s="69">
        <f t="shared" si="12"/>
        <v>349528874</v>
      </c>
      <c r="W36" s="69">
        <f t="shared" ref="W36:X36" si="13">SUM(W11:W12)</f>
        <v>349736897</v>
      </c>
      <c r="X36" s="69">
        <f t="shared" si="13"/>
        <v>349946687</v>
      </c>
      <c r="Y36" s="69">
        <f t="shared" ref="Y36:Z36" si="14">SUM(Y11:Y12)</f>
        <v>350247625</v>
      </c>
      <c r="Z36" s="69">
        <f t="shared" si="14"/>
        <v>350513623</v>
      </c>
      <c r="AA36" s="69">
        <f t="shared" ref="AA36:AB36" si="15">SUM(AA11:AA12)</f>
        <v>350813160</v>
      </c>
      <c r="AB36" s="69">
        <f t="shared" si="15"/>
        <v>351114062</v>
      </c>
      <c r="AC36" s="97">
        <f t="shared" ref="AC36:AD36" si="16">SUM(AC11:AC12)</f>
        <v>351388928</v>
      </c>
      <c r="AD36" s="69">
        <f t="shared" si="16"/>
        <v>351712770</v>
      </c>
      <c r="AE36" s="69">
        <f t="shared" ref="AE36:AF36" si="17">SUM(AE11:AE12)</f>
        <v>352019411</v>
      </c>
      <c r="AF36" s="69">
        <f t="shared" si="17"/>
        <v>352294500</v>
      </c>
      <c r="AG36" s="69">
        <f t="shared" ref="AG36:AH36" si="18">SUM(AG11:AG12)</f>
        <v>352574633</v>
      </c>
      <c r="AH36" s="69">
        <f t="shared" si="18"/>
        <v>352758466</v>
      </c>
    </row>
    <row r="37" spans="1:34" ht="18.75" x14ac:dyDescent="0.25">
      <c r="A37" s="12" t="s">
        <v>50</v>
      </c>
      <c r="B37" s="12"/>
      <c r="C37" s="69">
        <v>90403354</v>
      </c>
      <c r="D37" s="69">
        <f t="shared" ref="D37" si="19">D33+D34</f>
        <v>90494961</v>
      </c>
      <c r="E37" s="69">
        <f>E33+E34</f>
        <v>90575928</v>
      </c>
      <c r="F37" s="69">
        <f>F33+F34</f>
        <v>90669046</v>
      </c>
      <c r="G37" s="69">
        <f t="shared" ref="G37:H37" si="20">G33+G34</f>
        <v>90761570</v>
      </c>
      <c r="H37" s="69">
        <f t="shared" si="20"/>
        <v>90861594</v>
      </c>
      <c r="I37" s="69">
        <f t="shared" ref="I37:J37" si="21">I33+I34</f>
        <v>90942137</v>
      </c>
      <c r="J37" s="69">
        <f t="shared" si="21"/>
        <v>91029325</v>
      </c>
      <c r="K37" s="69">
        <f t="shared" ref="K37:L37" si="22">K33+K34</f>
        <v>91115462</v>
      </c>
      <c r="L37" s="69">
        <f t="shared" si="22"/>
        <v>91194008</v>
      </c>
      <c r="M37" s="69">
        <f t="shared" ref="M37:N37" si="23">M33+M34</f>
        <v>91273187</v>
      </c>
      <c r="N37" s="69">
        <f t="shared" si="23"/>
        <v>91357178</v>
      </c>
      <c r="O37" s="69">
        <f t="shared" ref="O37:P37" si="24">O33+O34</f>
        <v>91436646</v>
      </c>
      <c r="P37" s="69">
        <f t="shared" si="24"/>
        <v>91510482</v>
      </c>
      <c r="Q37" s="69">
        <f t="shared" ref="Q37:R37" si="25">Q33+Q34</f>
        <v>91591754</v>
      </c>
      <c r="R37" s="69">
        <f t="shared" si="25"/>
        <v>91675547</v>
      </c>
      <c r="S37" s="69">
        <f t="shared" ref="S37:T37" si="26">S33+S34</f>
        <v>91758837</v>
      </c>
      <c r="T37" s="69">
        <f t="shared" si="26"/>
        <v>91839852</v>
      </c>
      <c r="U37" s="69">
        <f t="shared" ref="U37:V37" si="27">U33+U34</f>
        <v>91923638</v>
      </c>
      <c r="V37" s="69">
        <f t="shared" si="27"/>
        <v>92003901</v>
      </c>
      <c r="W37" s="69">
        <f t="shared" ref="W37:X37" si="28">W33+W34</f>
        <v>92075932</v>
      </c>
      <c r="X37" s="69">
        <f t="shared" si="28"/>
        <v>92148933</v>
      </c>
      <c r="Y37" s="69">
        <f t="shared" ref="Y37:Z37" si="29">Y33+Y34</f>
        <v>92246427</v>
      </c>
      <c r="Z37" s="69">
        <f t="shared" si="29"/>
        <v>92309699</v>
      </c>
      <c r="AA37" s="69">
        <f t="shared" ref="AA37:AB37" si="30">AA33+AA34</f>
        <v>92395048</v>
      </c>
      <c r="AB37" s="69">
        <f t="shared" si="30"/>
        <v>92479645</v>
      </c>
      <c r="AC37" s="97">
        <f t="shared" ref="AC37:AD37" si="31">AC33+AC34</f>
        <v>92569440</v>
      </c>
      <c r="AD37" s="69">
        <f t="shared" si="31"/>
        <v>92656006</v>
      </c>
      <c r="AE37" s="69">
        <f t="shared" ref="AE37:AF37" si="32">AE33+AE34</f>
        <v>92744121</v>
      </c>
      <c r="AF37" s="69">
        <f t="shared" si="32"/>
        <v>92832418</v>
      </c>
      <c r="AG37" s="69">
        <f t="shared" ref="AG37:AH37" si="33">AG33+AG34</f>
        <v>92916654</v>
      </c>
      <c r="AH37" s="69">
        <f t="shared" si="33"/>
        <v>93004403</v>
      </c>
    </row>
    <row r="38" spans="1:34" ht="18.75" x14ac:dyDescent="0.25">
      <c r="A38" s="13" t="s">
        <v>51</v>
      </c>
      <c r="B38" s="13"/>
      <c r="C38" s="69">
        <v>67776379</v>
      </c>
      <c r="D38" s="69">
        <f>SUM(D14,D15,D16,D18,D19,D20,D21,D22,D31)</f>
        <v>67839515</v>
      </c>
      <c r="E38" s="69">
        <f>SUM(E14,E15,E16,E18,E19,E20,E21,E22,E31)</f>
        <v>67892876</v>
      </c>
      <c r="F38" s="69">
        <f>SUM(F14,F15,F16,F18,F19,F20,F21,F22,F31)</f>
        <v>67949504</v>
      </c>
      <c r="G38" s="69">
        <f t="shared" ref="G38:H38" si="34">SUM(G14,G15,G16,G18,G19,G20,G21,G22,G31)</f>
        <v>67997957</v>
      </c>
      <c r="H38" s="69">
        <f t="shared" si="34"/>
        <v>68052383</v>
      </c>
      <c r="I38" s="69">
        <f t="shared" ref="I38:J38" si="35">SUM(I14,I15,I16,I18,I19,I20,I21,I22,I31)</f>
        <v>68098509</v>
      </c>
      <c r="J38" s="69">
        <f t="shared" si="35"/>
        <v>68147193</v>
      </c>
      <c r="K38" s="69">
        <f t="shared" ref="K38:L38" si="36">SUM(K14,K15,K16,K18,K19,K20,K21,K22,K31)</f>
        <v>68194318</v>
      </c>
      <c r="L38" s="69">
        <f t="shared" si="36"/>
        <v>68250134</v>
      </c>
      <c r="M38" s="69">
        <f t="shared" ref="M38:N38" si="37">SUM(M14,M15,M16,M18,M19,M20,M21,M22,M31)</f>
        <v>68302695</v>
      </c>
      <c r="N38" s="69">
        <f t="shared" si="37"/>
        <v>68354653</v>
      </c>
      <c r="O38" s="69">
        <f t="shared" ref="O38:P38" si="38">SUM(O14,O15,O16,O18,O19,O20,O21,O22,O31)</f>
        <v>68413946</v>
      </c>
      <c r="P38" s="69">
        <f t="shared" si="38"/>
        <v>68470023</v>
      </c>
      <c r="Q38" s="69">
        <f t="shared" ref="Q38:R38" si="39">SUM(Q14,Q15,Q16,Q18,Q19,Q20,Q21,Q22,Q31)</f>
        <v>68525686</v>
      </c>
      <c r="R38" s="69">
        <f t="shared" si="39"/>
        <v>68584782</v>
      </c>
      <c r="S38" s="69">
        <f t="shared" ref="S38:T38" si="40">SUM(S14,S15,S16,S18,S19,S20,S21,S22,S31)</f>
        <v>68647974</v>
      </c>
      <c r="T38" s="69">
        <f t="shared" si="40"/>
        <v>68707667</v>
      </c>
      <c r="U38" s="69">
        <f t="shared" ref="U38:V38" si="41">SUM(U14,U15,U16,U18,U19,U20,U21,U22,U31)</f>
        <v>68769927</v>
      </c>
      <c r="V38" s="69">
        <f t="shared" si="41"/>
        <v>68828491</v>
      </c>
      <c r="W38" s="69">
        <f t="shared" ref="W38:X38" si="42">SUM(W14,W15,W16,W18,W19,W20,W21,W22,W31)</f>
        <v>68884086</v>
      </c>
      <c r="X38" s="69">
        <f t="shared" si="42"/>
        <v>68942830</v>
      </c>
      <c r="Y38" s="69">
        <f t="shared" ref="Y38" si="43">SUM(Y14,Y15,Y16,Y18,Y19,Y20,Y21,Y22,Y31)</f>
        <v>69012647</v>
      </c>
      <c r="Z38" s="69">
        <f t="shared" ref="Z38:AE38" si="44">SUM(Z14,Z15,Z16,Z18,Z19,Z20,Z21,Z22,Z31)</f>
        <v>69060251</v>
      </c>
      <c r="AA38" s="69">
        <f t="shared" si="44"/>
        <v>69119366</v>
      </c>
      <c r="AB38" s="69">
        <f t="shared" si="44"/>
        <v>69177489</v>
      </c>
      <c r="AC38" s="97">
        <f t="shared" si="44"/>
        <v>69229637</v>
      </c>
      <c r="AD38" s="69">
        <f t="shared" si="44"/>
        <v>69292956</v>
      </c>
      <c r="AE38" s="69">
        <f t="shared" si="44"/>
        <v>69352924</v>
      </c>
      <c r="AF38" s="69">
        <f t="shared" ref="AF38:AG38" si="45">SUM(AF14,AF15,AF16,AF18,AF19,AF20,AF21,AF22,AF31)</f>
        <v>69410559</v>
      </c>
      <c r="AG38" s="69">
        <f t="shared" si="45"/>
        <v>69468279</v>
      </c>
      <c r="AH38" s="69">
        <f t="shared" ref="AH38" si="46">SUM(AH14,AH15,AH16,AH18,AH19,AH20,AH21,AH22,AH31)</f>
        <v>69513814</v>
      </c>
    </row>
    <row r="39" spans="1:34" ht="18.75" x14ac:dyDescent="0.25">
      <c r="A39" s="14" t="s">
        <v>52</v>
      </c>
      <c r="B39" s="14"/>
      <c r="C39" s="69">
        <v>559439597</v>
      </c>
      <c r="D39" s="69">
        <f>D9-D37-D38</f>
        <v>559928510</v>
      </c>
      <c r="E39" s="69">
        <f t="shared" ref="E39:K39" si="47">E9-E37-E38</f>
        <v>560348239</v>
      </c>
      <c r="F39" s="69">
        <f t="shared" si="47"/>
        <v>560799080</v>
      </c>
      <c r="G39" s="69">
        <f t="shared" si="47"/>
        <v>561261828</v>
      </c>
      <c r="H39" s="69">
        <f t="shared" si="47"/>
        <v>561760107</v>
      </c>
      <c r="I39" s="69">
        <f t="shared" si="47"/>
        <v>562189588</v>
      </c>
      <c r="J39" s="69">
        <f t="shared" si="47"/>
        <v>562633226</v>
      </c>
      <c r="K39" s="69">
        <f t="shared" si="47"/>
        <v>563079364</v>
      </c>
      <c r="L39" s="69">
        <f t="shared" ref="L39:M39" si="48">L9-L37-L38</f>
        <v>563534741</v>
      </c>
      <c r="M39" s="69">
        <f t="shared" si="48"/>
        <v>563962589</v>
      </c>
      <c r="N39" s="69">
        <f t="shared" ref="N39:O39" si="49">N9-N37-N38</f>
        <v>564394675</v>
      </c>
      <c r="O39" s="69">
        <f t="shared" si="49"/>
        <v>564852309</v>
      </c>
      <c r="P39" s="69">
        <f t="shared" ref="P39:Q39" si="50">P9-P37-P38</f>
        <v>565269444</v>
      </c>
      <c r="Q39" s="69">
        <f t="shared" si="50"/>
        <v>565679532</v>
      </c>
      <c r="R39" s="69">
        <f t="shared" ref="R39:S39" si="51">R9-R37-R38</f>
        <v>566121925</v>
      </c>
      <c r="S39" s="69">
        <f t="shared" si="51"/>
        <v>566593283</v>
      </c>
      <c r="T39" s="69">
        <f t="shared" ref="T39:U39" si="52">T9-T37-T38</f>
        <v>567050972</v>
      </c>
      <c r="U39" s="69">
        <f t="shared" si="52"/>
        <v>567521052</v>
      </c>
      <c r="V39" s="69">
        <f t="shared" ref="V39:AB39" si="53">V9-V37-V38</f>
        <v>567981083</v>
      </c>
      <c r="W39" s="69">
        <f t="shared" si="53"/>
        <v>568429881</v>
      </c>
      <c r="X39" s="69">
        <f t="shared" si="53"/>
        <v>568852275</v>
      </c>
      <c r="Y39" s="69">
        <f t="shared" si="53"/>
        <v>569375415</v>
      </c>
      <c r="Z39" s="69">
        <f t="shared" si="53"/>
        <v>569755620</v>
      </c>
      <c r="AA39" s="69">
        <f t="shared" si="53"/>
        <v>570210616</v>
      </c>
      <c r="AB39" s="69">
        <f t="shared" si="53"/>
        <v>570664125</v>
      </c>
      <c r="AC39" s="97">
        <f t="shared" ref="AC39:AD39" si="54">AC9-AC37-AC38</f>
        <v>571094519</v>
      </c>
      <c r="AD39" s="69">
        <f t="shared" si="54"/>
        <v>571542357</v>
      </c>
      <c r="AE39" s="69">
        <f t="shared" ref="AE39:AF39" si="55">AE9-AE37-AE38</f>
        <v>571992970</v>
      </c>
      <c r="AF39" s="69">
        <f t="shared" si="55"/>
        <v>572429308</v>
      </c>
      <c r="AG39" s="69">
        <f t="shared" ref="AG39:AH39" si="56">AG9-AG37-AG38</f>
        <v>572896445</v>
      </c>
      <c r="AH39" s="69">
        <f t="shared" si="56"/>
        <v>573312146</v>
      </c>
    </row>
    <row r="40" spans="1:34" ht="18.75" x14ac:dyDescent="0.25">
      <c r="A40" s="14" t="s">
        <v>82</v>
      </c>
      <c r="B40" s="14"/>
      <c r="C40" s="70">
        <v>180728557</v>
      </c>
      <c r="D40" s="70">
        <f>D29+D30</f>
        <v>180856483</v>
      </c>
      <c r="E40" s="70">
        <f>E29+E30</f>
        <v>180963768</v>
      </c>
      <c r="F40" s="70">
        <f>F29+F30</f>
        <v>181083827</v>
      </c>
      <c r="G40" s="70">
        <f t="shared" ref="G40:H40" si="57">G29+G30</f>
        <v>181211752</v>
      </c>
      <c r="H40" s="70">
        <f t="shared" si="57"/>
        <v>181343693</v>
      </c>
      <c r="I40" s="70">
        <f t="shared" ref="I40:J40" si="58">I29+I30</f>
        <v>181457606</v>
      </c>
      <c r="J40" s="70">
        <f t="shared" si="58"/>
        <v>181572937</v>
      </c>
      <c r="K40" s="70">
        <f t="shared" ref="K40:L40" si="59">K29+K30</f>
        <v>181690899</v>
      </c>
      <c r="L40" s="70">
        <f t="shared" si="59"/>
        <v>181812513</v>
      </c>
      <c r="M40" s="70">
        <f t="shared" ref="M40:N40" si="60">M29+M30</f>
        <v>181926031</v>
      </c>
      <c r="N40" s="70">
        <f t="shared" si="60"/>
        <v>182047129</v>
      </c>
      <c r="O40" s="70">
        <f t="shared" ref="O40:P40" si="61">O29+O30</f>
        <v>182168024</v>
      </c>
      <c r="P40" s="70">
        <f t="shared" si="61"/>
        <v>182280669</v>
      </c>
      <c r="Q40" s="70">
        <f t="shared" ref="Q40:R40" si="62">Q29+Q30</f>
        <v>182396412</v>
      </c>
      <c r="R40" s="70">
        <f t="shared" si="62"/>
        <v>182514038</v>
      </c>
      <c r="S40" s="70">
        <f t="shared" ref="S40:U40" si="63">S29+S30</f>
        <v>182639847</v>
      </c>
      <c r="T40" s="70">
        <f t="shared" si="63"/>
        <v>182762898</v>
      </c>
      <c r="U40" s="70">
        <f t="shared" si="63"/>
        <v>182888398</v>
      </c>
      <c r="V40" s="70">
        <f t="shared" ref="V40:W40" si="64">V29+V30</f>
        <v>183004127</v>
      </c>
      <c r="W40" s="70">
        <f t="shared" si="64"/>
        <v>183119891</v>
      </c>
      <c r="X40" s="70">
        <f t="shared" ref="X40:Y40" si="65">X29+X30</f>
        <v>183230744</v>
      </c>
      <c r="Y40" s="70">
        <f t="shared" si="65"/>
        <v>183367692</v>
      </c>
      <c r="Z40" s="70">
        <f t="shared" ref="Z40:AA40" si="66">Z29+Z30</f>
        <v>183467430</v>
      </c>
      <c r="AA40" s="70">
        <f t="shared" si="66"/>
        <v>183586117</v>
      </c>
      <c r="AB40" s="70">
        <f t="shared" ref="AB40:AC40" si="67">AB29+AB30</f>
        <v>183703049</v>
      </c>
      <c r="AC40" s="98">
        <f t="shared" si="67"/>
        <v>183822070</v>
      </c>
      <c r="AD40" s="70">
        <f t="shared" ref="AD40:AE40" si="68">AD29+AD30</f>
        <v>183940710</v>
      </c>
      <c r="AE40" s="70">
        <f t="shared" si="68"/>
        <v>184061303</v>
      </c>
      <c r="AF40" s="70">
        <f t="shared" ref="AF40:AG40" si="69">AF29+AF30</f>
        <v>184177862</v>
      </c>
      <c r="AG40" s="70">
        <f t="shared" si="69"/>
        <v>184302573</v>
      </c>
      <c r="AH40" s="70">
        <f t="shared" ref="AH40" si="70">AH29+AH30</f>
        <v>184413653</v>
      </c>
    </row>
    <row r="41" spans="1:34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27"/>
      <c r="L41" s="27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47"/>
      <c r="AD41" s="39"/>
      <c r="AE41" s="27"/>
      <c r="AF41" s="27"/>
      <c r="AG41" s="27"/>
      <c r="AH41" s="27"/>
    </row>
    <row r="42" spans="1:34" ht="18.75" x14ac:dyDescent="0.25">
      <c r="A42" s="15" t="s">
        <v>53</v>
      </c>
      <c r="B42" s="15"/>
      <c r="C42" s="71">
        <v>73930</v>
      </c>
      <c r="D42" s="71">
        <f t="shared" ref="D42" si="71">D37-C37</f>
        <v>91607</v>
      </c>
      <c r="E42" s="71">
        <f>E37-D37</f>
        <v>80967</v>
      </c>
      <c r="F42" s="71">
        <f>F37-E37</f>
        <v>93118</v>
      </c>
      <c r="G42" s="71">
        <f t="shared" ref="G42:AC42" si="72">G37-F37</f>
        <v>92524</v>
      </c>
      <c r="H42" s="71">
        <f t="shared" si="72"/>
        <v>100024</v>
      </c>
      <c r="I42" s="71">
        <f t="shared" si="72"/>
        <v>80543</v>
      </c>
      <c r="J42" s="71">
        <f t="shared" si="72"/>
        <v>87188</v>
      </c>
      <c r="K42" s="71">
        <f t="shared" si="72"/>
        <v>86137</v>
      </c>
      <c r="L42" s="71">
        <f t="shared" si="72"/>
        <v>78546</v>
      </c>
      <c r="M42" s="71">
        <f t="shared" si="72"/>
        <v>79179</v>
      </c>
      <c r="N42" s="71">
        <f t="shared" si="72"/>
        <v>83991</v>
      </c>
      <c r="O42" s="71">
        <f t="shared" si="72"/>
        <v>79468</v>
      </c>
      <c r="P42" s="71">
        <f t="shared" si="72"/>
        <v>73836</v>
      </c>
      <c r="Q42" s="71">
        <f t="shared" si="72"/>
        <v>81272</v>
      </c>
      <c r="R42" s="71">
        <f t="shared" si="72"/>
        <v>83793</v>
      </c>
      <c r="S42" s="71">
        <f t="shared" si="72"/>
        <v>83290</v>
      </c>
      <c r="T42" s="71">
        <f t="shared" si="72"/>
        <v>81015</v>
      </c>
      <c r="U42" s="71">
        <f t="shared" si="72"/>
        <v>83786</v>
      </c>
      <c r="V42" s="71">
        <f t="shared" si="72"/>
        <v>80263</v>
      </c>
      <c r="W42" s="71">
        <f t="shared" si="72"/>
        <v>72031</v>
      </c>
      <c r="X42" s="71">
        <f t="shared" si="72"/>
        <v>73001</v>
      </c>
      <c r="Y42" s="71">
        <f t="shared" si="72"/>
        <v>97494</v>
      </c>
      <c r="Z42" s="71">
        <f t="shared" si="72"/>
        <v>63272</v>
      </c>
      <c r="AA42" s="71">
        <f t="shared" si="72"/>
        <v>85349</v>
      </c>
      <c r="AB42" s="71">
        <f t="shared" si="72"/>
        <v>84597</v>
      </c>
      <c r="AC42" s="99">
        <f t="shared" si="72"/>
        <v>89795</v>
      </c>
      <c r="AD42" s="71">
        <f>AD37-AC37</f>
        <v>86566</v>
      </c>
      <c r="AE42" s="71">
        <f>AE37-AD37</f>
        <v>88115</v>
      </c>
      <c r="AF42" s="71">
        <f>AF37-AE37</f>
        <v>88297</v>
      </c>
      <c r="AG42" s="71">
        <f>AG37-AF37</f>
        <v>84236</v>
      </c>
      <c r="AH42" s="71">
        <f>AH37-AG37</f>
        <v>87749</v>
      </c>
    </row>
    <row r="43" spans="1:34" ht="18.75" x14ac:dyDescent="0.25">
      <c r="A43" s="16" t="s">
        <v>55</v>
      </c>
      <c r="B43" s="16"/>
      <c r="C43" s="72">
        <v>121626</v>
      </c>
      <c r="D43" s="72">
        <f t="shared" ref="D43" si="73">D40-C40</f>
        <v>127926</v>
      </c>
      <c r="E43" s="72">
        <f>E40-D40</f>
        <v>107285</v>
      </c>
      <c r="F43" s="72">
        <f>F40-E40</f>
        <v>120059</v>
      </c>
      <c r="G43" s="72">
        <f t="shared" ref="G43:AD43" si="74">G40-F40</f>
        <v>127925</v>
      </c>
      <c r="H43" s="72">
        <f t="shared" si="74"/>
        <v>131941</v>
      </c>
      <c r="I43" s="72">
        <f t="shared" si="74"/>
        <v>113913</v>
      </c>
      <c r="J43" s="72">
        <f t="shared" si="74"/>
        <v>115331</v>
      </c>
      <c r="K43" s="72">
        <f t="shared" si="74"/>
        <v>117962</v>
      </c>
      <c r="L43" s="72">
        <f t="shared" si="74"/>
        <v>121614</v>
      </c>
      <c r="M43" s="72">
        <f t="shared" si="74"/>
        <v>113518</v>
      </c>
      <c r="N43" s="72">
        <f t="shared" si="74"/>
        <v>121098</v>
      </c>
      <c r="O43" s="72">
        <f t="shared" si="74"/>
        <v>120895</v>
      </c>
      <c r="P43" s="72">
        <f t="shared" si="74"/>
        <v>112645</v>
      </c>
      <c r="Q43" s="72">
        <f t="shared" si="74"/>
        <v>115743</v>
      </c>
      <c r="R43" s="72">
        <f t="shared" si="74"/>
        <v>117626</v>
      </c>
      <c r="S43" s="72">
        <f t="shared" si="74"/>
        <v>125809</v>
      </c>
      <c r="T43" s="72">
        <f t="shared" si="74"/>
        <v>123051</v>
      </c>
      <c r="U43" s="72">
        <f t="shared" si="74"/>
        <v>125500</v>
      </c>
      <c r="V43" s="72">
        <f t="shared" si="74"/>
        <v>115729</v>
      </c>
      <c r="W43" s="72">
        <f t="shared" si="74"/>
        <v>115764</v>
      </c>
      <c r="X43" s="72">
        <f t="shared" si="74"/>
        <v>110853</v>
      </c>
      <c r="Y43" s="72">
        <f t="shared" si="74"/>
        <v>136948</v>
      </c>
      <c r="Z43" s="72">
        <f t="shared" si="74"/>
        <v>99738</v>
      </c>
      <c r="AA43" s="72">
        <f t="shared" si="74"/>
        <v>118687</v>
      </c>
      <c r="AB43" s="72">
        <f t="shared" si="74"/>
        <v>116932</v>
      </c>
      <c r="AC43" s="100">
        <f t="shared" si="74"/>
        <v>119021</v>
      </c>
      <c r="AD43" s="72">
        <f t="shared" si="74"/>
        <v>118640</v>
      </c>
      <c r="AE43" s="72">
        <f>AE40-AD40</f>
        <v>120593</v>
      </c>
      <c r="AF43" s="72">
        <f>AF40-AE40</f>
        <v>116559</v>
      </c>
      <c r="AG43" s="72">
        <f>AG40-AF40</f>
        <v>124711</v>
      </c>
      <c r="AH43" s="72">
        <f>AH40-AG40</f>
        <v>111080</v>
      </c>
    </row>
    <row r="44" spans="1:34" ht="18.75" x14ac:dyDescent="0.25">
      <c r="A44" s="18" t="s">
        <v>57</v>
      </c>
      <c r="B44" s="18"/>
      <c r="C44" s="73">
        <v>138270.90000000002</v>
      </c>
      <c r="D44" s="73">
        <f t="shared" ref="D44" si="75">(D38-C38)+D43*0.65</f>
        <v>146287.90000000002</v>
      </c>
      <c r="E44" s="73">
        <f>(E38-D38)+E43*0.65</f>
        <v>123096.25</v>
      </c>
      <c r="F44" s="73">
        <f>(F38-E38)+F43*0.65</f>
        <v>134666.35</v>
      </c>
      <c r="G44" s="73">
        <f t="shared" ref="G44:Y44" si="76">(G38-F38)+G43*0.65</f>
        <v>131604.25</v>
      </c>
      <c r="H44" s="73">
        <f t="shared" si="76"/>
        <v>140187.65000000002</v>
      </c>
      <c r="I44" s="73">
        <f t="shared" si="76"/>
        <v>120169.45</v>
      </c>
      <c r="J44" s="73">
        <f t="shared" si="76"/>
        <v>123649.15000000001</v>
      </c>
      <c r="K44" s="73">
        <f t="shared" si="76"/>
        <v>123800.3</v>
      </c>
      <c r="L44" s="73">
        <f t="shared" si="76"/>
        <v>134865.1</v>
      </c>
      <c r="M44" s="73">
        <f t="shared" si="76"/>
        <v>126347.7</v>
      </c>
      <c r="N44" s="73">
        <f t="shared" si="76"/>
        <v>130671.7</v>
      </c>
      <c r="O44" s="73">
        <f t="shared" si="76"/>
        <v>137874.75</v>
      </c>
      <c r="P44" s="73">
        <f t="shared" si="76"/>
        <v>129296.25</v>
      </c>
      <c r="Q44" s="73">
        <f t="shared" si="76"/>
        <v>130895.95</v>
      </c>
      <c r="R44" s="73">
        <f t="shared" si="76"/>
        <v>135552.90000000002</v>
      </c>
      <c r="S44" s="73">
        <f t="shared" si="76"/>
        <v>144967.85</v>
      </c>
      <c r="T44" s="73">
        <f t="shared" si="76"/>
        <v>139676.15000000002</v>
      </c>
      <c r="U44" s="73">
        <f t="shared" si="76"/>
        <v>143835</v>
      </c>
      <c r="V44" s="73">
        <f t="shared" si="76"/>
        <v>133787.85</v>
      </c>
      <c r="W44" s="73">
        <f t="shared" si="76"/>
        <v>130841.60000000001</v>
      </c>
      <c r="X44" s="73">
        <f t="shared" si="76"/>
        <v>130798.45</v>
      </c>
      <c r="Y44" s="73">
        <f t="shared" si="76"/>
        <v>158833.20000000001</v>
      </c>
      <c r="Z44" s="73">
        <f t="shared" ref="Z44:AE44" si="77">(Z38-Y38)+Z43*0.65</f>
        <v>112433.70000000001</v>
      </c>
      <c r="AA44" s="73">
        <f t="shared" si="77"/>
        <v>136261.54999999999</v>
      </c>
      <c r="AB44" s="73">
        <f t="shared" si="77"/>
        <v>134128.79999999999</v>
      </c>
      <c r="AC44" s="101">
        <f t="shared" si="77"/>
        <v>129511.65000000001</v>
      </c>
      <c r="AD44" s="73">
        <f t="shared" si="77"/>
        <v>140435</v>
      </c>
      <c r="AE44" s="73">
        <f t="shared" si="77"/>
        <v>138353.45000000001</v>
      </c>
      <c r="AF44" s="73">
        <f>(AF38-AE38)+AF43*0.65</f>
        <v>133398.35</v>
      </c>
      <c r="AG44" s="73">
        <f>(AG38-AF38)+AG43*0.65</f>
        <v>138782.15000000002</v>
      </c>
      <c r="AH44" s="73">
        <f>(AH38-AG38)+AH43*0.65</f>
        <v>117737</v>
      </c>
    </row>
    <row r="45" spans="1:34" ht="18.75" x14ac:dyDescent="0.25">
      <c r="A45" s="19" t="s">
        <v>59</v>
      </c>
      <c r="B45" s="19"/>
      <c r="C45" s="74">
        <v>305687.09999999998</v>
      </c>
      <c r="D45" s="74">
        <f t="shared" ref="D45" si="78">D39-C39-0.65*D43-D42</f>
        <v>314154.09999999998</v>
      </c>
      <c r="E45" s="74">
        <f>E39-D39-0.65*E43-E42</f>
        <v>269026.75</v>
      </c>
      <c r="F45" s="74">
        <f>F39-E39-0.65*F43-F42</f>
        <v>279684.65000000002</v>
      </c>
      <c r="G45" s="74">
        <f t="shared" ref="G45:AE45" si="79">G39-F39-0.65*G43-G42</f>
        <v>287072.75</v>
      </c>
      <c r="H45" s="74">
        <f t="shared" si="79"/>
        <v>312493.34999999998</v>
      </c>
      <c r="I45" s="74">
        <f t="shared" si="79"/>
        <v>274894.55</v>
      </c>
      <c r="J45" s="74">
        <f t="shared" si="79"/>
        <v>281484.84999999998</v>
      </c>
      <c r="K45" s="74">
        <f t="shared" si="79"/>
        <v>283325.7</v>
      </c>
      <c r="L45" s="74">
        <f t="shared" si="79"/>
        <v>297781.90000000002</v>
      </c>
      <c r="M45" s="74">
        <f t="shared" si="79"/>
        <v>274882.3</v>
      </c>
      <c r="N45" s="74">
        <f t="shared" si="79"/>
        <v>269381.3</v>
      </c>
      <c r="O45" s="74">
        <f t="shared" si="79"/>
        <v>299584.25</v>
      </c>
      <c r="P45" s="74">
        <f t="shared" si="79"/>
        <v>270079.75</v>
      </c>
      <c r="Q45" s="74">
        <f t="shared" si="79"/>
        <v>253583.05</v>
      </c>
      <c r="R45" s="74">
        <f t="shared" si="79"/>
        <v>282143.09999999998</v>
      </c>
      <c r="S45" s="74">
        <f t="shared" si="79"/>
        <v>306292.15000000002</v>
      </c>
      <c r="T45" s="74">
        <f t="shared" si="79"/>
        <v>296690.84999999998</v>
      </c>
      <c r="U45" s="74">
        <f t="shared" si="79"/>
        <v>304719</v>
      </c>
      <c r="V45" s="74">
        <f t="shared" si="79"/>
        <v>304544.15000000002</v>
      </c>
      <c r="W45" s="74">
        <f t="shared" si="79"/>
        <v>301520.40000000002</v>
      </c>
      <c r="X45" s="74">
        <f t="shared" si="79"/>
        <v>277338.55</v>
      </c>
      <c r="Y45" s="74">
        <f t="shared" si="79"/>
        <v>336629.8</v>
      </c>
      <c r="Z45" s="74">
        <f t="shared" si="79"/>
        <v>252103.3</v>
      </c>
      <c r="AA45" s="74">
        <f t="shared" si="79"/>
        <v>292500.45</v>
      </c>
      <c r="AB45" s="74">
        <f t="shared" si="79"/>
        <v>292906.2</v>
      </c>
      <c r="AC45" s="102">
        <f t="shared" si="79"/>
        <v>263235.34999999998</v>
      </c>
      <c r="AD45" s="74">
        <f t="shared" si="79"/>
        <v>284156</v>
      </c>
      <c r="AE45" s="74">
        <f t="shared" si="79"/>
        <v>284112.55</v>
      </c>
      <c r="AF45" s="74">
        <f>AF39-AE39-0.65*AF43-AF42</f>
        <v>272277.65000000002</v>
      </c>
      <c r="AG45" s="74">
        <f>AG39-AF39-0.65*AG43-AG42</f>
        <v>301838.84999999998</v>
      </c>
      <c r="AH45" s="74">
        <f>AH39-AG39-0.65*AH43-AH42</f>
        <v>255750</v>
      </c>
    </row>
    <row r="46" spans="1:34" ht="18.75" x14ac:dyDescent="0.25">
      <c r="A46" s="20" t="s">
        <v>61</v>
      </c>
      <c r="B46" s="20"/>
      <c r="C46" s="75">
        <v>206175</v>
      </c>
      <c r="D46" s="75">
        <f t="shared" ref="D46" si="80">D36-C36</f>
        <v>173384</v>
      </c>
      <c r="E46" s="75">
        <f>E36-D36</f>
        <v>153220</v>
      </c>
      <c r="F46" s="75">
        <f>F36-E36</f>
        <v>217445</v>
      </c>
      <c r="G46" s="75">
        <f t="shared" ref="G46:AH46" si="81">G36-F36</f>
        <v>237742</v>
      </c>
      <c r="H46" s="75">
        <f t="shared" si="81"/>
        <v>175611</v>
      </c>
      <c r="I46" s="75">
        <f t="shared" si="81"/>
        <v>192980</v>
      </c>
      <c r="J46" s="75">
        <f t="shared" si="81"/>
        <v>231435</v>
      </c>
      <c r="K46" s="75">
        <f t="shared" si="81"/>
        <v>323784</v>
      </c>
      <c r="L46" s="75">
        <f t="shared" si="81"/>
        <v>234338</v>
      </c>
      <c r="M46" s="75">
        <f t="shared" si="81"/>
        <v>176742</v>
      </c>
      <c r="N46" s="75">
        <f t="shared" si="81"/>
        <v>160549</v>
      </c>
      <c r="O46" s="75">
        <f t="shared" si="81"/>
        <v>181229</v>
      </c>
      <c r="P46" s="75">
        <f t="shared" si="81"/>
        <v>224727</v>
      </c>
      <c r="Q46" s="75">
        <f t="shared" si="81"/>
        <v>171048</v>
      </c>
      <c r="R46" s="75">
        <f t="shared" si="81"/>
        <v>240575</v>
      </c>
      <c r="S46" s="75">
        <f t="shared" si="81"/>
        <v>261595</v>
      </c>
      <c r="T46" s="75">
        <f t="shared" si="81"/>
        <v>256378</v>
      </c>
      <c r="U46" s="75">
        <f t="shared" si="81"/>
        <v>283635</v>
      </c>
      <c r="V46" s="75">
        <f t="shared" si="81"/>
        <v>203082</v>
      </c>
      <c r="W46" s="75">
        <f t="shared" si="81"/>
        <v>208023</v>
      </c>
      <c r="X46" s="75">
        <f t="shared" si="81"/>
        <v>209790</v>
      </c>
      <c r="Y46" s="75">
        <f t="shared" si="81"/>
        <v>300938</v>
      </c>
      <c r="Z46" s="75">
        <f t="shared" si="81"/>
        <v>265998</v>
      </c>
      <c r="AA46" s="75">
        <f t="shared" si="81"/>
        <v>299537</v>
      </c>
      <c r="AB46" s="75">
        <f t="shared" si="81"/>
        <v>300902</v>
      </c>
      <c r="AC46" s="103">
        <f t="shared" si="81"/>
        <v>274866</v>
      </c>
      <c r="AD46" s="75">
        <f t="shared" si="81"/>
        <v>323842</v>
      </c>
      <c r="AE46" s="75">
        <f t="shared" si="81"/>
        <v>306641</v>
      </c>
      <c r="AF46" s="75">
        <f t="shared" si="81"/>
        <v>275089</v>
      </c>
      <c r="AG46" s="75">
        <f t="shared" si="81"/>
        <v>280133</v>
      </c>
      <c r="AH46" s="75">
        <f t="shared" si="81"/>
        <v>183833</v>
      </c>
    </row>
    <row r="47" spans="1:34" ht="18.75" x14ac:dyDescent="0.25">
      <c r="A47" s="21" t="s">
        <v>63</v>
      </c>
      <c r="B47" s="21"/>
      <c r="C47" s="76">
        <v>650133</v>
      </c>
      <c r="D47" s="76">
        <f t="shared" ref="D47:E47" si="82">D44+D45+D46</f>
        <v>633826</v>
      </c>
      <c r="E47" s="76">
        <f t="shared" si="82"/>
        <v>545343</v>
      </c>
      <c r="F47" s="76">
        <f t="shared" ref="F47:G47" si="83">F44+F45+F46</f>
        <v>631796</v>
      </c>
      <c r="G47" s="76">
        <f t="shared" si="83"/>
        <v>656419</v>
      </c>
      <c r="H47" s="76">
        <f t="shared" ref="H47:I47" si="84">H44+H45+H46</f>
        <v>628292</v>
      </c>
      <c r="I47" s="76">
        <f t="shared" si="84"/>
        <v>588044</v>
      </c>
      <c r="J47" s="76">
        <f t="shared" ref="J47:K47" si="85">J44+J45+J46</f>
        <v>636569</v>
      </c>
      <c r="K47" s="76">
        <f t="shared" si="85"/>
        <v>730910</v>
      </c>
      <c r="L47" s="76">
        <f t="shared" ref="L47:M47" si="86">L44+L45+L46</f>
        <v>666985</v>
      </c>
      <c r="M47" s="76">
        <f t="shared" si="86"/>
        <v>577972</v>
      </c>
      <c r="N47" s="76">
        <f t="shared" ref="N47:O47" si="87">N44+N45+N46</f>
        <v>560602</v>
      </c>
      <c r="O47" s="76">
        <f t="shared" si="87"/>
        <v>618688</v>
      </c>
      <c r="P47" s="76">
        <f t="shared" ref="P47" si="88">P44+P45+P46</f>
        <v>624103</v>
      </c>
      <c r="Q47" s="76">
        <f t="shared" ref="Q47:R47" si="89">Q44+Q45+Q46</f>
        <v>555527</v>
      </c>
      <c r="R47" s="76">
        <f t="shared" si="89"/>
        <v>658271</v>
      </c>
      <c r="S47" s="76">
        <f t="shared" ref="S47:T47" si="90">S44+S45+S46</f>
        <v>712855</v>
      </c>
      <c r="T47" s="76">
        <f t="shared" si="90"/>
        <v>692745</v>
      </c>
      <c r="U47" s="76">
        <f t="shared" ref="U47:V47" si="91">U44+U45+U46</f>
        <v>732189</v>
      </c>
      <c r="V47" s="76">
        <f t="shared" si="91"/>
        <v>641414</v>
      </c>
      <c r="W47" s="76">
        <f t="shared" ref="W47:X47" si="92">W44+W45+W46</f>
        <v>640385</v>
      </c>
      <c r="X47" s="76">
        <f t="shared" si="92"/>
        <v>617927</v>
      </c>
      <c r="Y47" s="76">
        <f t="shared" ref="Y47:Z47" si="93">Y44+Y45+Y46</f>
        <v>796401</v>
      </c>
      <c r="Z47" s="76">
        <f t="shared" si="93"/>
        <v>630535</v>
      </c>
      <c r="AA47" s="76">
        <f t="shared" ref="AA47:AB47" si="94">AA44+AA45+AA46</f>
        <v>728299</v>
      </c>
      <c r="AB47" s="76">
        <f t="shared" si="94"/>
        <v>727937</v>
      </c>
      <c r="AC47" s="104">
        <f t="shared" ref="AC47:AD47" si="95">AC44+AC45+AC46</f>
        <v>667613</v>
      </c>
      <c r="AD47" s="76">
        <f t="shared" si="95"/>
        <v>748433</v>
      </c>
      <c r="AE47" s="76">
        <f t="shared" ref="AE47" si="96">AE44+AE45+AE46</f>
        <v>729107</v>
      </c>
      <c r="AF47" s="76">
        <f>AF44+AF45+AF46</f>
        <v>680765</v>
      </c>
      <c r="AG47" s="76">
        <f>AG44+AG45+AG46</f>
        <v>720754</v>
      </c>
      <c r="AH47" s="76">
        <f>AH44+AH45+AH46</f>
        <v>557320</v>
      </c>
    </row>
    <row r="48" spans="1:34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39"/>
      <c r="X48" s="39"/>
      <c r="Y48" s="39"/>
      <c r="Z48" s="39"/>
      <c r="AA48" s="39"/>
      <c r="AB48" s="39"/>
      <c r="AC48" s="47"/>
      <c r="AD48" s="39"/>
      <c r="AE48" s="27"/>
      <c r="AF48" s="27"/>
      <c r="AG48" s="27"/>
      <c r="AH48" s="27"/>
    </row>
    <row r="49" spans="1:34" ht="15.75" x14ac:dyDescent="0.25">
      <c r="A49" s="7" t="s">
        <v>64</v>
      </c>
      <c r="B49" s="7"/>
      <c r="C49" s="77">
        <v>16384</v>
      </c>
      <c r="D49" s="77">
        <f t="shared" ref="D49:D53" si="97">D24-C24</f>
        <v>20254</v>
      </c>
      <c r="E49" s="77">
        <f t="shared" ref="E49:AH53" si="98">E24-D24</f>
        <v>12158</v>
      </c>
      <c r="F49" s="77">
        <f t="shared" si="98"/>
        <v>17495</v>
      </c>
      <c r="G49" s="77">
        <f t="shared" si="98"/>
        <v>17344</v>
      </c>
      <c r="H49" s="77">
        <f t="shared" si="98"/>
        <v>15470</v>
      </c>
      <c r="I49" s="77">
        <f t="shared" si="98"/>
        <v>13255</v>
      </c>
      <c r="J49" s="77">
        <f t="shared" si="98"/>
        <v>13225</v>
      </c>
      <c r="K49" s="77">
        <f t="shared" si="98"/>
        <v>13209</v>
      </c>
      <c r="L49" s="77">
        <f t="shared" si="98"/>
        <v>14254</v>
      </c>
      <c r="M49" s="77">
        <f t="shared" si="98"/>
        <v>11308</v>
      </c>
      <c r="N49" s="77">
        <f t="shared" si="98"/>
        <v>11984</v>
      </c>
      <c r="O49" s="77">
        <f t="shared" si="98"/>
        <v>16454</v>
      </c>
      <c r="P49" s="77">
        <f t="shared" si="98"/>
        <v>15463</v>
      </c>
      <c r="Q49" s="77">
        <f t="shared" si="98"/>
        <v>12187</v>
      </c>
      <c r="R49" s="77">
        <f t="shared" si="98"/>
        <v>15031</v>
      </c>
      <c r="S49" s="77">
        <f t="shared" si="98"/>
        <v>14795</v>
      </c>
      <c r="T49" s="77">
        <f t="shared" si="98"/>
        <v>14576</v>
      </c>
      <c r="U49" s="77">
        <f t="shared" si="98"/>
        <v>13734</v>
      </c>
      <c r="V49" s="77">
        <f t="shared" si="98"/>
        <v>14832</v>
      </c>
      <c r="W49" s="77">
        <f t="shared" si="98"/>
        <v>13239</v>
      </c>
      <c r="X49" s="77">
        <f t="shared" si="98"/>
        <v>15533</v>
      </c>
      <c r="Y49" s="77">
        <f t="shared" si="98"/>
        <v>16523</v>
      </c>
      <c r="Z49" s="77">
        <f t="shared" si="98"/>
        <v>10555</v>
      </c>
      <c r="AA49" s="77">
        <f t="shared" si="98"/>
        <v>13883</v>
      </c>
      <c r="AB49" s="77">
        <f t="shared" si="98"/>
        <v>13224</v>
      </c>
      <c r="AC49" s="105">
        <f t="shared" si="98"/>
        <v>12231</v>
      </c>
      <c r="AD49" s="77">
        <f t="shared" si="98"/>
        <v>12110</v>
      </c>
      <c r="AE49" s="77">
        <f>AE24-AD24</f>
        <v>11692</v>
      </c>
      <c r="AF49" s="77">
        <f>AF24-AE24</f>
        <v>11542</v>
      </c>
      <c r="AG49" s="77">
        <f>AG24-AF24</f>
        <v>12483</v>
      </c>
      <c r="AH49" s="77">
        <f>AH24-AG24</f>
        <v>12525</v>
      </c>
    </row>
    <row r="50" spans="1:34" ht="15.75" x14ac:dyDescent="0.25">
      <c r="A50" s="7" t="s">
        <v>65</v>
      </c>
      <c r="B50" s="7"/>
      <c r="C50" s="77">
        <v>16495</v>
      </c>
      <c r="D50" s="77">
        <f t="shared" si="97"/>
        <v>19501</v>
      </c>
      <c r="E50" s="77">
        <f t="shared" si="98"/>
        <v>16977</v>
      </c>
      <c r="F50" s="77">
        <f t="shared" si="98"/>
        <v>17384</v>
      </c>
      <c r="G50" s="77">
        <f t="shared" si="98"/>
        <v>18042</v>
      </c>
      <c r="H50" s="77">
        <f t="shared" si="98"/>
        <v>19996</v>
      </c>
      <c r="I50" s="77">
        <f t="shared" si="98"/>
        <v>17501</v>
      </c>
      <c r="J50" s="77">
        <f t="shared" si="98"/>
        <v>17118</v>
      </c>
      <c r="K50" s="77">
        <f t="shared" si="98"/>
        <v>18298</v>
      </c>
      <c r="L50" s="77">
        <f t="shared" si="98"/>
        <v>17851</v>
      </c>
      <c r="M50" s="77">
        <f t="shared" si="98"/>
        <v>17492</v>
      </c>
      <c r="N50" s="77">
        <f t="shared" si="98"/>
        <v>14258</v>
      </c>
      <c r="O50" s="77">
        <f t="shared" si="98"/>
        <v>17204</v>
      </c>
      <c r="P50" s="77">
        <f t="shared" si="98"/>
        <v>15182</v>
      </c>
      <c r="Q50" s="77">
        <f t="shared" si="98"/>
        <v>16279</v>
      </c>
      <c r="R50" s="77">
        <f t="shared" si="98"/>
        <v>16294</v>
      </c>
      <c r="S50" s="77">
        <f t="shared" si="98"/>
        <v>16777</v>
      </c>
      <c r="T50" s="77">
        <f t="shared" si="98"/>
        <v>16800</v>
      </c>
      <c r="U50" s="77">
        <f t="shared" si="98"/>
        <v>14461</v>
      </c>
      <c r="V50" s="77">
        <f t="shared" si="98"/>
        <v>15621</v>
      </c>
      <c r="W50" s="77">
        <f t="shared" si="98"/>
        <v>15864</v>
      </c>
      <c r="X50" s="77">
        <f t="shared" si="98"/>
        <v>12642</v>
      </c>
      <c r="Y50" s="77">
        <f t="shared" si="98"/>
        <v>18460</v>
      </c>
      <c r="Z50" s="77">
        <f t="shared" si="98"/>
        <v>13023</v>
      </c>
      <c r="AA50" s="77">
        <f t="shared" si="98"/>
        <v>15411</v>
      </c>
      <c r="AB50" s="77">
        <f t="shared" si="98"/>
        <v>16924</v>
      </c>
      <c r="AC50" s="105">
        <f t="shared" si="98"/>
        <v>16364</v>
      </c>
      <c r="AD50" s="77">
        <f t="shared" si="98"/>
        <v>14706</v>
      </c>
      <c r="AE50" s="77">
        <f t="shared" si="98"/>
        <v>13559</v>
      </c>
      <c r="AF50" s="77">
        <f t="shared" si="98"/>
        <v>12267</v>
      </c>
      <c r="AG50" s="77">
        <f t="shared" si="98"/>
        <v>12974</v>
      </c>
      <c r="AH50" s="77">
        <f t="shared" si="98"/>
        <v>10745</v>
      </c>
    </row>
    <row r="51" spans="1:34" ht="15.75" x14ac:dyDescent="0.25">
      <c r="A51" s="7" t="s">
        <v>66</v>
      </c>
      <c r="B51" s="7"/>
      <c r="C51" s="77">
        <v>4053</v>
      </c>
      <c r="D51" s="77">
        <f t="shared" si="97"/>
        <v>4341</v>
      </c>
      <c r="E51" s="77">
        <f t="shared" si="98"/>
        <v>3617</v>
      </c>
      <c r="F51" s="77">
        <f t="shared" si="98"/>
        <v>3897</v>
      </c>
      <c r="G51" s="77">
        <f t="shared" si="98"/>
        <v>3746</v>
      </c>
      <c r="H51" s="77">
        <f t="shared" si="98"/>
        <v>3988</v>
      </c>
      <c r="I51" s="77">
        <f t="shared" si="98"/>
        <v>3464</v>
      </c>
      <c r="J51" s="77">
        <f t="shared" si="98"/>
        <v>3462</v>
      </c>
      <c r="K51" s="77">
        <f t="shared" si="98"/>
        <v>3394</v>
      </c>
      <c r="L51" s="77">
        <f t="shared" si="98"/>
        <v>3346</v>
      </c>
      <c r="M51" s="77">
        <f t="shared" si="98"/>
        <v>4491</v>
      </c>
      <c r="N51" s="77">
        <f t="shared" si="98"/>
        <v>3963</v>
      </c>
      <c r="O51" s="77">
        <f t="shared" si="98"/>
        <v>4198</v>
      </c>
      <c r="P51" s="77">
        <f t="shared" si="98"/>
        <v>3925</v>
      </c>
      <c r="Q51" s="77">
        <f t="shared" si="98"/>
        <v>3618</v>
      </c>
      <c r="R51" s="77">
        <f t="shared" si="98"/>
        <v>4880</v>
      </c>
      <c r="S51" s="77">
        <f t="shared" si="98"/>
        <v>3943</v>
      </c>
      <c r="T51" s="77">
        <f t="shared" si="98"/>
        <v>3796</v>
      </c>
      <c r="U51" s="77">
        <f t="shared" si="98"/>
        <v>5566</v>
      </c>
      <c r="V51" s="77">
        <f t="shared" si="98"/>
        <v>5822</v>
      </c>
      <c r="W51" s="77">
        <f t="shared" si="98"/>
        <v>5358</v>
      </c>
      <c r="X51" s="77">
        <f t="shared" si="98"/>
        <v>5718</v>
      </c>
      <c r="Y51" s="77">
        <f t="shared" si="98"/>
        <v>6380</v>
      </c>
      <c r="Z51" s="77">
        <f t="shared" si="98"/>
        <v>4609</v>
      </c>
      <c r="AA51" s="77">
        <f t="shared" si="98"/>
        <v>5305</v>
      </c>
      <c r="AB51" s="77">
        <f t="shared" si="98"/>
        <v>5183</v>
      </c>
      <c r="AC51" s="105">
        <f t="shared" si="98"/>
        <v>4598</v>
      </c>
      <c r="AD51" s="77">
        <f t="shared" si="98"/>
        <v>5070</v>
      </c>
      <c r="AE51" s="77">
        <f t="shared" si="98"/>
        <v>5312</v>
      </c>
      <c r="AF51" s="77">
        <f t="shared" si="98"/>
        <v>4231</v>
      </c>
      <c r="AG51" s="77">
        <f t="shared" si="98"/>
        <v>3437</v>
      </c>
      <c r="AH51" s="77">
        <f t="shared" si="98"/>
        <v>6202</v>
      </c>
    </row>
    <row r="52" spans="1:34" ht="15.75" x14ac:dyDescent="0.25">
      <c r="A52" s="7" t="s">
        <v>67</v>
      </c>
      <c r="B52" s="7"/>
      <c r="C52" s="77">
        <v>57242</v>
      </c>
      <c r="D52" s="77">
        <f t="shared" si="97"/>
        <v>61418</v>
      </c>
      <c r="E52" s="77">
        <f t="shared" si="98"/>
        <v>52515</v>
      </c>
      <c r="F52" s="77">
        <f t="shared" si="98"/>
        <v>56613</v>
      </c>
      <c r="G52" s="77">
        <f t="shared" si="98"/>
        <v>55855</v>
      </c>
      <c r="H52" s="77">
        <f t="shared" si="98"/>
        <v>62933</v>
      </c>
      <c r="I52" s="77">
        <f t="shared" si="98"/>
        <v>56542</v>
      </c>
      <c r="J52" s="77">
        <f t="shared" si="98"/>
        <v>58479</v>
      </c>
      <c r="K52" s="77">
        <f t="shared" si="98"/>
        <v>57154</v>
      </c>
      <c r="L52" s="77">
        <f t="shared" si="98"/>
        <v>58096</v>
      </c>
      <c r="M52" s="77">
        <f t="shared" si="98"/>
        <v>58180</v>
      </c>
      <c r="N52" s="77">
        <f t="shared" si="98"/>
        <v>58829</v>
      </c>
      <c r="O52" s="77">
        <f t="shared" si="98"/>
        <v>60394</v>
      </c>
      <c r="P52" s="77">
        <f t="shared" si="98"/>
        <v>51981</v>
      </c>
      <c r="Q52" s="77">
        <f t="shared" si="98"/>
        <v>58709</v>
      </c>
      <c r="R52" s="77">
        <f t="shared" si="98"/>
        <v>59567</v>
      </c>
      <c r="S52" s="77">
        <f t="shared" si="98"/>
        <v>60996</v>
      </c>
      <c r="T52" s="77">
        <f t="shared" si="98"/>
        <v>60255</v>
      </c>
      <c r="U52" s="77">
        <f t="shared" si="98"/>
        <v>61199</v>
      </c>
      <c r="V52" s="77">
        <f t="shared" si="98"/>
        <v>62738</v>
      </c>
      <c r="W52" s="77">
        <f t="shared" si="98"/>
        <v>58976</v>
      </c>
      <c r="X52" s="77">
        <f t="shared" si="98"/>
        <v>61886</v>
      </c>
      <c r="Y52" s="77">
        <f t="shared" si="98"/>
        <v>71461</v>
      </c>
      <c r="Z52" s="77">
        <f t="shared" si="98"/>
        <v>48767</v>
      </c>
      <c r="AA52" s="77">
        <f t="shared" si="98"/>
        <v>57869</v>
      </c>
      <c r="AB52" s="77">
        <f t="shared" si="98"/>
        <v>58219</v>
      </c>
      <c r="AC52" s="105">
        <f t="shared" si="98"/>
        <v>58214</v>
      </c>
      <c r="AD52" s="77">
        <f t="shared" si="98"/>
        <v>57843</v>
      </c>
      <c r="AE52" s="77">
        <f t="shared" si="98"/>
        <v>58050</v>
      </c>
      <c r="AF52" s="77">
        <f t="shared" si="98"/>
        <v>55932</v>
      </c>
      <c r="AG52" s="77">
        <f t="shared" si="98"/>
        <v>57727</v>
      </c>
      <c r="AH52" s="77">
        <f t="shared" si="98"/>
        <v>51143</v>
      </c>
    </row>
    <row r="53" spans="1:34" ht="15.75" x14ac:dyDescent="0.25">
      <c r="A53" s="7" t="s">
        <v>68</v>
      </c>
      <c r="B53" s="7"/>
      <c r="C53" s="77">
        <v>4355</v>
      </c>
      <c r="D53" s="77">
        <f t="shared" si="97"/>
        <v>4692</v>
      </c>
      <c r="E53" s="77">
        <f t="shared" si="98"/>
        <v>3814</v>
      </c>
      <c r="F53" s="77">
        <f t="shared" si="98"/>
        <v>4368</v>
      </c>
      <c r="G53" s="77">
        <f t="shared" si="98"/>
        <v>4440</v>
      </c>
      <c r="H53" s="77">
        <f t="shared" si="98"/>
        <v>4930</v>
      </c>
      <c r="I53" s="77">
        <f t="shared" si="98"/>
        <v>4313</v>
      </c>
      <c r="J53" s="77">
        <f t="shared" si="98"/>
        <v>4458</v>
      </c>
      <c r="K53" s="77">
        <f t="shared" si="98"/>
        <v>4307</v>
      </c>
      <c r="L53" s="77">
        <f t="shared" si="98"/>
        <v>4356</v>
      </c>
      <c r="M53" s="77">
        <f t="shared" si="98"/>
        <v>4438</v>
      </c>
      <c r="N53" s="77">
        <f t="shared" si="98"/>
        <v>4525</v>
      </c>
      <c r="O53" s="77">
        <f t="shared" si="98"/>
        <v>4533</v>
      </c>
      <c r="P53" s="77">
        <f t="shared" si="98"/>
        <v>3831</v>
      </c>
      <c r="Q53" s="77">
        <f t="shared" si="98"/>
        <v>4317</v>
      </c>
      <c r="R53" s="77">
        <f t="shared" si="98"/>
        <v>4425</v>
      </c>
      <c r="S53" s="77">
        <f t="shared" si="98"/>
        <v>4549</v>
      </c>
      <c r="T53" s="77">
        <f t="shared" si="98"/>
        <v>4399</v>
      </c>
      <c r="U53" s="77">
        <f t="shared" si="98"/>
        <v>4528</v>
      </c>
      <c r="V53" s="77">
        <f t="shared" si="98"/>
        <v>4680</v>
      </c>
      <c r="W53" s="77">
        <f t="shared" si="98"/>
        <v>4418</v>
      </c>
      <c r="X53" s="77">
        <f t="shared" si="98"/>
        <v>4434</v>
      </c>
      <c r="Y53" s="77">
        <f t="shared" si="98"/>
        <v>5278</v>
      </c>
      <c r="Z53" s="77">
        <f t="shared" si="98"/>
        <v>3629</v>
      </c>
      <c r="AA53" s="77">
        <f t="shared" si="98"/>
        <v>4312</v>
      </c>
      <c r="AB53" s="77">
        <f t="shared" si="98"/>
        <v>4290</v>
      </c>
      <c r="AC53" s="105">
        <f t="shared" si="98"/>
        <v>4336</v>
      </c>
      <c r="AD53" s="77">
        <f t="shared" si="98"/>
        <v>4395</v>
      </c>
      <c r="AE53" s="77">
        <f t="shared" si="98"/>
        <v>4393</v>
      </c>
      <c r="AF53" s="77">
        <f t="shared" si="98"/>
        <v>4345</v>
      </c>
      <c r="AG53" s="77">
        <f t="shared" si="98"/>
        <v>4561</v>
      </c>
      <c r="AH53" s="77">
        <f t="shared" si="98"/>
        <v>4133</v>
      </c>
    </row>
    <row r="54" spans="1:34" ht="18.75" x14ac:dyDescent="0.25">
      <c r="A54" s="23" t="s">
        <v>70</v>
      </c>
      <c r="B54" s="23"/>
      <c r="C54" s="78">
        <v>98529</v>
      </c>
      <c r="D54" s="78">
        <f t="shared" ref="D54:E54" si="99">SUM(D49:D53)</f>
        <v>110206</v>
      </c>
      <c r="E54" s="78">
        <f t="shared" si="99"/>
        <v>89081</v>
      </c>
      <c r="F54" s="78">
        <f t="shared" ref="F54:G54" si="100">SUM(F49:F53)</f>
        <v>99757</v>
      </c>
      <c r="G54" s="78">
        <f t="shared" si="100"/>
        <v>99427</v>
      </c>
      <c r="H54" s="78">
        <f t="shared" ref="H54:I54" si="101">SUM(H49:H53)</f>
        <v>107317</v>
      </c>
      <c r="I54" s="78">
        <f t="shared" si="101"/>
        <v>95075</v>
      </c>
      <c r="J54" s="78">
        <f t="shared" ref="J54:K54" si="102">SUM(J49:J53)</f>
        <v>96742</v>
      </c>
      <c r="K54" s="78">
        <f t="shared" si="102"/>
        <v>96362</v>
      </c>
      <c r="L54" s="78">
        <f t="shared" ref="L54:M54" si="103">SUM(L49:L53)</f>
        <v>97903</v>
      </c>
      <c r="M54" s="78">
        <f t="shared" si="103"/>
        <v>95909</v>
      </c>
      <c r="N54" s="78">
        <f t="shared" ref="N54:O54" si="104">SUM(N49:N53)</f>
        <v>93559</v>
      </c>
      <c r="O54" s="78">
        <f t="shared" si="104"/>
        <v>102783</v>
      </c>
      <c r="P54" s="78">
        <f t="shared" ref="P54" si="105">SUM(P49:P53)</f>
        <v>90382</v>
      </c>
      <c r="Q54" s="78">
        <f t="shared" ref="Q54:R54" si="106">SUM(Q49:Q53)</f>
        <v>95110</v>
      </c>
      <c r="R54" s="78">
        <f t="shared" si="106"/>
        <v>100197</v>
      </c>
      <c r="S54" s="78">
        <f t="shared" ref="S54:T54" si="107">SUM(S49:S53)</f>
        <v>101060</v>
      </c>
      <c r="T54" s="78">
        <f t="shared" si="107"/>
        <v>99826</v>
      </c>
      <c r="U54" s="78">
        <f t="shared" ref="U54:V54" si="108">SUM(U49:U53)</f>
        <v>99488</v>
      </c>
      <c r="V54" s="78">
        <f t="shared" si="108"/>
        <v>103693</v>
      </c>
      <c r="W54" s="78">
        <f t="shared" ref="W54:X54" si="109">SUM(W49:W53)</f>
        <v>97855</v>
      </c>
      <c r="X54" s="78">
        <f t="shared" si="109"/>
        <v>100213</v>
      </c>
      <c r="Y54" s="78">
        <f t="shared" ref="Y54:Z54" si="110">SUM(Y49:Y53)</f>
        <v>118102</v>
      </c>
      <c r="Z54" s="78">
        <f t="shared" si="110"/>
        <v>80583</v>
      </c>
      <c r="AA54" s="78">
        <f t="shared" ref="AA54:AB54" si="111">SUM(AA49:AA53)</f>
        <v>96780</v>
      </c>
      <c r="AB54" s="78">
        <f t="shared" si="111"/>
        <v>97840</v>
      </c>
      <c r="AC54" s="106">
        <f t="shared" ref="AC54:AD54" si="112">SUM(AC49:AC53)</f>
        <v>95743</v>
      </c>
      <c r="AD54" s="78">
        <f t="shared" si="112"/>
        <v>94124</v>
      </c>
      <c r="AE54" s="78">
        <f t="shared" ref="AE54" si="113">SUM(AE49:AE53)</f>
        <v>93006</v>
      </c>
      <c r="AF54" s="113">
        <f>SUM(AF49:AF53)</f>
        <v>88317</v>
      </c>
      <c r="AG54" s="113">
        <f>SUM(AG49:AG53)</f>
        <v>91182</v>
      </c>
      <c r="AH54" s="113">
        <f>SUM(AH49:AH53)</f>
        <v>84748</v>
      </c>
    </row>
    <row r="55" spans="1:34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>
        <v>42</v>
      </c>
      <c r="I55" s="41">
        <v>44</v>
      </c>
      <c r="J55" s="41">
        <v>40</v>
      </c>
      <c r="K55" s="41">
        <v>43</v>
      </c>
      <c r="L55" s="41">
        <v>43</v>
      </c>
      <c r="M55" s="41">
        <v>30</v>
      </c>
      <c r="N55" s="41">
        <v>27</v>
      </c>
      <c r="O55" s="41">
        <v>42</v>
      </c>
      <c r="P55" s="41">
        <v>46</v>
      </c>
      <c r="Q55" s="41">
        <v>33</v>
      </c>
      <c r="R55" s="41">
        <v>44</v>
      </c>
      <c r="S55" s="41">
        <v>45</v>
      </c>
      <c r="T55" s="41">
        <v>46</v>
      </c>
      <c r="U55" s="41">
        <v>41</v>
      </c>
      <c r="V55" s="41">
        <v>43</v>
      </c>
      <c r="W55" s="41">
        <v>43</v>
      </c>
      <c r="X55" s="41">
        <v>36</v>
      </c>
      <c r="Y55" s="41">
        <v>43</v>
      </c>
      <c r="Z55" s="41">
        <v>44</v>
      </c>
      <c r="AA55" s="41">
        <v>47</v>
      </c>
      <c r="AB55" s="41">
        <v>46</v>
      </c>
      <c r="AC55" s="112">
        <v>34</v>
      </c>
      <c r="AD55" s="110">
        <v>42</v>
      </c>
      <c r="AE55" s="41">
        <v>46</v>
      </c>
      <c r="AF55" s="41">
        <v>45</v>
      </c>
      <c r="AG55" s="41">
        <v>43</v>
      </c>
      <c r="AH55" s="41">
        <v>27</v>
      </c>
    </row>
    <row r="56" spans="1:34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>
        <v>41</v>
      </c>
      <c r="I56" s="41">
        <v>44</v>
      </c>
      <c r="J56" s="41">
        <v>43</v>
      </c>
      <c r="K56" s="41">
        <v>40</v>
      </c>
      <c r="L56" s="41">
        <v>44</v>
      </c>
      <c r="M56" s="41">
        <v>31</v>
      </c>
      <c r="N56" s="41">
        <v>27</v>
      </c>
      <c r="O56" s="41">
        <v>44</v>
      </c>
      <c r="P56" s="41">
        <v>43</v>
      </c>
      <c r="Q56" s="41">
        <v>35</v>
      </c>
      <c r="R56" s="41">
        <v>42</v>
      </c>
      <c r="S56" s="41">
        <v>45</v>
      </c>
      <c r="T56" s="41">
        <v>45</v>
      </c>
      <c r="U56" s="41">
        <v>43</v>
      </c>
      <c r="V56" s="41">
        <v>42</v>
      </c>
      <c r="W56" s="41">
        <v>43</v>
      </c>
      <c r="X56" s="41">
        <v>39</v>
      </c>
      <c r="Y56" s="41">
        <v>41</v>
      </c>
      <c r="Z56" s="41">
        <v>43</v>
      </c>
      <c r="AA56" s="41">
        <v>46</v>
      </c>
      <c r="AB56" s="41">
        <v>47</v>
      </c>
      <c r="AC56" s="47">
        <v>36</v>
      </c>
      <c r="AD56" s="39">
        <v>39</v>
      </c>
      <c r="AE56" s="41">
        <v>46</v>
      </c>
      <c r="AF56" s="41">
        <v>46</v>
      </c>
      <c r="AG56" s="41">
        <v>42</v>
      </c>
      <c r="AH56" s="41">
        <v>33</v>
      </c>
    </row>
    <row r="57" spans="1:34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39"/>
      <c r="X57" s="27"/>
      <c r="Y57" s="27"/>
      <c r="Z57" s="27"/>
      <c r="AA57" s="27"/>
      <c r="AB57" s="27"/>
      <c r="AC57" s="46"/>
      <c r="AD57" s="27"/>
      <c r="AE57" s="27"/>
      <c r="AF57" s="27"/>
      <c r="AG57" s="27"/>
      <c r="AH57" s="27"/>
    </row>
    <row r="58" spans="1:34" x14ac:dyDescent="0.25">
      <c r="A58" s="22" t="s">
        <v>73</v>
      </c>
      <c r="B58" s="22"/>
      <c r="C58" s="79">
        <v>9.0562549122347402</v>
      </c>
      <c r="D58" s="79">
        <f t="shared" ref="D58:E58" si="114">D44/(D56*347)</f>
        <v>9.5813400576368899</v>
      </c>
      <c r="E58" s="79">
        <f t="shared" si="114"/>
        <v>8.0623690070736185</v>
      </c>
      <c r="F58" s="79">
        <f t="shared" ref="F58:G58" si="115">F44/(F56*347)</f>
        <v>9.025289859928959</v>
      </c>
      <c r="G58" s="79">
        <f t="shared" si="115"/>
        <v>7.9013118395773292</v>
      </c>
      <c r="H58" s="79">
        <f t="shared" ref="H58:I58" si="116">H44/(H56*347)</f>
        <v>9.8536339354748037</v>
      </c>
      <c r="I58" s="79">
        <f t="shared" si="116"/>
        <v>7.8706739586062353</v>
      </c>
      <c r="J58" s="79">
        <f t="shared" ref="J58:K58" si="117">J44/(J56*347)</f>
        <v>8.286921117887541</v>
      </c>
      <c r="K58" s="79">
        <f t="shared" si="117"/>
        <v>8.9193299711815559</v>
      </c>
      <c r="L58" s="79">
        <f t="shared" ref="L58:M58" si="118">L44/(L56*347)</f>
        <v>8.8331870578988738</v>
      </c>
      <c r="M58" s="79">
        <f t="shared" si="118"/>
        <v>11.745626103932322</v>
      </c>
      <c r="N58" s="79">
        <f t="shared" ref="N58:O58" si="119">N44/(N56*347)</f>
        <v>13.947240900843205</v>
      </c>
      <c r="O58" s="79">
        <f t="shared" si="119"/>
        <v>9.03030848834163</v>
      </c>
      <c r="P58" s="79">
        <f t="shared" ref="P58:Q58" si="120">P44/(P56*347)</f>
        <v>8.6653877085986188</v>
      </c>
      <c r="Q58" s="79">
        <f t="shared" si="120"/>
        <v>10.777764512144916</v>
      </c>
      <c r="R58" s="79">
        <f t="shared" ref="R58:S58" si="121">R44/(R56*347)</f>
        <v>9.3010086455331429</v>
      </c>
      <c r="S58" s="79">
        <f t="shared" si="121"/>
        <v>9.2838840858149219</v>
      </c>
      <c r="T58" s="79">
        <f t="shared" ref="T58:U58" si="122">T44/(T56*347)</f>
        <v>8.9449983989753452</v>
      </c>
      <c r="U58" s="79">
        <f t="shared" si="122"/>
        <v>9.639769452449567</v>
      </c>
      <c r="V58" s="79">
        <f t="shared" ref="V58:W58" si="123">V44/(V56*347)</f>
        <v>9.1798991354466857</v>
      </c>
      <c r="W58" s="79">
        <f t="shared" si="123"/>
        <v>8.7689565042557476</v>
      </c>
      <c r="X58" s="79">
        <f t="shared" ref="X58:Y58" si="124">X44/(X56*347)</f>
        <v>9.66514815635853</v>
      </c>
      <c r="Y58" s="79">
        <f t="shared" si="124"/>
        <v>11.164208898573136</v>
      </c>
      <c r="Z58" s="79">
        <f t="shared" ref="Z58:AA58" si="125">Z44/(Z56*347)</f>
        <v>7.5352657328597283</v>
      </c>
      <c r="AA58" s="79">
        <f t="shared" si="125"/>
        <v>8.5366213507079305</v>
      </c>
      <c r="AB58" s="79">
        <f t="shared" ref="AB58:AC58" si="126">AB44/(AB56*347)</f>
        <v>8.2242197559629648</v>
      </c>
      <c r="AC58" s="107">
        <f t="shared" si="126"/>
        <v>10.367567243035543</v>
      </c>
      <c r="AD58" s="79">
        <f t="shared" ref="AD58:AE58" si="127">AD44/(AD56*347)</f>
        <v>10.377226040050248</v>
      </c>
      <c r="AE58" s="79">
        <f t="shared" si="127"/>
        <v>8.6676763563463233</v>
      </c>
      <c r="AF58" s="79">
        <f>AF44/(AF56*347)</f>
        <v>8.3572453326650802</v>
      </c>
      <c r="AG58" s="79">
        <f>AG44/(AG56*347)</f>
        <v>9.5225847399478543</v>
      </c>
      <c r="AH58" s="79">
        <f>AH44/(AH56*347)</f>
        <v>10.281809448956423</v>
      </c>
    </row>
    <row r="59" spans="1:34" x14ac:dyDescent="0.25">
      <c r="A59" s="22" t="s">
        <v>74</v>
      </c>
      <c r="B59" s="22"/>
      <c r="C59" s="79">
        <v>20.487038402251859</v>
      </c>
      <c r="D59" s="79">
        <f t="shared" ref="D59:E59" si="128">D45/(D55*347)</f>
        <v>20.118738392571245</v>
      </c>
      <c r="E59" s="79">
        <f t="shared" si="128"/>
        <v>17.620300628766046</v>
      </c>
      <c r="F59" s="79">
        <f t="shared" ref="F59:G59" si="129">F45/(F55*347)</f>
        <v>18.318355383809276</v>
      </c>
      <c r="G59" s="79">
        <f t="shared" si="129"/>
        <v>17.984760681618845</v>
      </c>
      <c r="H59" s="79">
        <f t="shared" ref="H59:I59" si="130">H45/(H55*347)</f>
        <v>21.441838205022641</v>
      </c>
      <c r="I59" s="79">
        <f t="shared" si="130"/>
        <v>18.004620775478124</v>
      </c>
      <c r="J59" s="79">
        <f t="shared" ref="J59:K59" si="131">J45/(J55*347)</f>
        <v>20.279888328530259</v>
      </c>
      <c r="K59" s="79">
        <f t="shared" si="131"/>
        <v>18.988385496950606</v>
      </c>
      <c r="L59" s="79">
        <f t="shared" ref="L59:M59" si="132">L45/(L55*347)</f>
        <v>19.957234769787551</v>
      </c>
      <c r="M59" s="79">
        <f t="shared" si="132"/>
        <v>26.405600384245915</v>
      </c>
      <c r="N59" s="79">
        <f t="shared" ref="N59:O59" si="133">N45/(N55*347)</f>
        <v>28.752406873732522</v>
      </c>
      <c r="O59" s="79">
        <f t="shared" si="133"/>
        <v>20.556075888568685</v>
      </c>
      <c r="P59" s="79">
        <f t="shared" ref="P59:Q59" si="134">P45/(P55*347)</f>
        <v>16.920169778223279</v>
      </c>
      <c r="Q59" s="79">
        <f t="shared" si="134"/>
        <v>22.145057200244519</v>
      </c>
      <c r="R59" s="79">
        <f t="shared" ref="R59:S59" si="135">R45/(R55*347)</f>
        <v>18.479375163741157</v>
      </c>
      <c r="S59" s="79">
        <f t="shared" si="135"/>
        <v>19.61525136087096</v>
      </c>
      <c r="T59" s="79">
        <f t="shared" ref="T59:U59" si="136">T45/(T55*347)</f>
        <v>18.587323017165769</v>
      </c>
      <c r="U59" s="79">
        <f t="shared" si="136"/>
        <v>21.418359457369789</v>
      </c>
      <c r="V59" s="79">
        <f t="shared" ref="V59:W59" si="137">V45/(V55*347)</f>
        <v>20.410438308424371</v>
      </c>
      <c r="W59" s="79">
        <f t="shared" si="137"/>
        <v>20.207787681790766</v>
      </c>
      <c r="X59" s="79">
        <f t="shared" ref="X59:Y59" si="138">X45/(X55*347)</f>
        <v>22.201292827409542</v>
      </c>
      <c r="Y59" s="79">
        <f t="shared" si="138"/>
        <v>22.560806916426511</v>
      </c>
      <c r="Z59" s="79">
        <f t="shared" ref="Z59:AA59" si="139">Z45/(Z55*347)</f>
        <v>16.511874508776526</v>
      </c>
      <c r="AA59" s="79">
        <f t="shared" si="139"/>
        <v>17.934910172297506</v>
      </c>
      <c r="AB59" s="79">
        <f t="shared" ref="AB59:AC59" si="140">AB45/(AB55*347)</f>
        <v>18.350219270768076</v>
      </c>
      <c r="AC59" s="107">
        <f t="shared" si="140"/>
        <v>22.311862180030513</v>
      </c>
      <c r="AD59" s="79">
        <f t="shared" ref="AD59:AE59" si="141">AD45/(AD55*347)</f>
        <v>19.497461232331549</v>
      </c>
      <c r="AE59" s="79">
        <f t="shared" si="141"/>
        <v>17.799307730860793</v>
      </c>
      <c r="AF59" s="79">
        <f>AF45/(AF55*347)</f>
        <v>17.436929234710217</v>
      </c>
      <c r="AG59" s="79">
        <f>AG45/(AG55*347)</f>
        <v>20.229130085114939</v>
      </c>
      <c r="AH59" s="79">
        <f>AH45/(AH55*347)</f>
        <v>27.297470381043869</v>
      </c>
    </row>
    <row r="60" spans="1:34" x14ac:dyDescent="0.25">
      <c r="A60" s="22" t="s">
        <v>75</v>
      </c>
      <c r="B60" s="22"/>
      <c r="C60" s="79">
        <v>13.817773607667046</v>
      </c>
      <c r="D60" s="79">
        <f t="shared" ref="D60:E60" si="142">D46/(D55*347)</f>
        <v>11.103682356708294</v>
      </c>
      <c r="E60" s="79">
        <f t="shared" si="142"/>
        <v>10.035368090123134</v>
      </c>
      <c r="F60" s="79">
        <f t="shared" ref="F60:G60" si="143">F46/(F55*347)</f>
        <v>14.241878438564317</v>
      </c>
      <c r="G60" s="79">
        <f t="shared" si="143"/>
        <v>14.894248840997369</v>
      </c>
      <c r="H60" s="79">
        <f t="shared" ref="H60:I60" si="144">H46/(H55*347)</f>
        <v>12.049608892548374</v>
      </c>
      <c r="I60" s="79">
        <f t="shared" si="144"/>
        <v>12.639507466596804</v>
      </c>
      <c r="J60" s="79">
        <f t="shared" ref="J60:K60" si="145">J46/(J55*347)</f>
        <v>16.67399135446686</v>
      </c>
      <c r="K60" s="79">
        <f t="shared" si="145"/>
        <v>21.69988606661752</v>
      </c>
      <c r="L60" s="79">
        <f t="shared" ref="L60:M60" si="146">L46/(L55*347)</f>
        <v>15.705247637557804</v>
      </c>
      <c r="M60" s="79">
        <f t="shared" si="146"/>
        <v>16.978097982708935</v>
      </c>
      <c r="N60" s="79">
        <f t="shared" ref="N60:O60" si="147">N46/(N55*347)</f>
        <v>17.136193830718327</v>
      </c>
      <c r="O60" s="79">
        <f t="shared" si="147"/>
        <v>12.435089886098531</v>
      </c>
      <c r="P60" s="79">
        <f t="shared" ref="P60:Q60" si="148">P46/(P55*347)</f>
        <v>14.078874827715826</v>
      </c>
      <c r="Q60" s="79">
        <f t="shared" si="148"/>
        <v>14.937385381189415</v>
      </c>
      <c r="R60" s="79">
        <f t="shared" ref="R60:S60" si="149">R46/(R55*347)</f>
        <v>15.756811632171862</v>
      </c>
      <c r="S60" s="79">
        <f t="shared" si="149"/>
        <v>16.752801793147615</v>
      </c>
      <c r="T60" s="79">
        <f t="shared" ref="T60:U60" si="150">T46/(T55*347)</f>
        <v>16.061771707806038</v>
      </c>
      <c r="U60" s="79">
        <f t="shared" si="150"/>
        <v>19.936388556969142</v>
      </c>
      <c r="V60" s="79">
        <f t="shared" ref="V60:W60" si="151">V46/(V55*347)</f>
        <v>13.610481871188258</v>
      </c>
      <c r="W60" s="79">
        <f t="shared" si="151"/>
        <v>13.941625896387642</v>
      </c>
      <c r="X60" s="79">
        <f t="shared" ref="X60:Y60" si="152">X46/(X55*347)</f>
        <v>16.793948126801151</v>
      </c>
      <c r="Y60" s="79">
        <f t="shared" si="152"/>
        <v>20.168755445345486</v>
      </c>
      <c r="Z60" s="79">
        <f t="shared" ref="Z60:AA60" si="153">Z46/(Z55*347)</f>
        <v>17.421928215876342</v>
      </c>
      <c r="AA60" s="79">
        <f t="shared" si="153"/>
        <v>18.366362131338526</v>
      </c>
      <c r="AB60" s="79">
        <f t="shared" ref="AB60:AC60" si="154">AB46/(AB55*347)</f>
        <v>18.851146472873072</v>
      </c>
      <c r="AC60" s="107">
        <f t="shared" si="154"/>
        <v>23.297677572469912</v>
      </c>
      <c r="AD60" s="79">
        <f t="shared" ref="AD60:AE60" si="155">AD46/(AD55*347)</f>
        <v>22.220529710443255</v>
      </c>
      <c r="AE60" s="79">
        <f t="shared" si="155"/>
        <v>19.210687883723843</v>
      </c>
      <c r="AF60" s="79">
        <f>AF46/(AF55*347)</f>
        <v>17.616970861351266</v>
      </c>
      <c r="AG60" s="79">
        <f>AG46/(AG55*347)</f>
        <v>18.774411902687486</v>
      </c>
      <c r="AH60" s="79">
        <f>AH46/(AH55*347)</f>
        <v>19.621411036396626</v>
      </c>
    </row>
    <row r="61" spans="1:34" x14ac:dyDescent="0.25">
      <c r="A61" s="22" t="s">
        <v>76</v>
      </c>
      <c r="B61" s="22"/>
      <c r="C61" s="79">
        <v>43.36106692215364</v>
      </c>
      <c r="D61" s="79">
        <f t="shared" ref="D61:E61" si="156">SUM(D58:D60)</f>
        <v>40.803760806916429</v>
      </c>
      <c r="E61" s="79">
        <f t="shared" si="156"/>
        <v>35.718037725962802</v>
      </c>
      <c r="F61" s="79">
        <f t="shared" ref="F61" si="157">SUM(F58:F60)</f>
        <v>41.585523682302551</v>
      </c>
      <c r="G61" s="79">
        <f t="shared" ref="G61:H61" si="158">SUM(G58:G60)</f>
        <v>40.78032136219354</v>
      </c>
      <c r="H61" s="79">
        <f t="shared" si="158"/>
        <v>43.345081033045815</v>
      </c>
      <c r="I61" s="79">
        <f t="shared" ref="I61:J61" si="159">SUM(I58:I60)</f>
        <v>38.51480220068116</v>
      </c>
      <c r="J61" s="79">
        <f t="shared" si="159"/>
        <v>45.240800800884656</v>
      </c>
      <c r="K61" s="79">
        <f t="shared" ref="K61:L61" si="160">SUM(K58:K60)</f>
        <v>49.607601534749676</v>
      </c>
      <c r="L61" s="79">
        <f t="shared" si="160"/>
        <v>44.495669465244227</v>
      </c>
      <c r="M61" s="79">
        <f t="shared" ref="M61:N61" si="161">SUM(M58:M60)</f>
        <v>55.12932447088717</v>
      </c>
      <c r="N61" s="79">
        <f t="shared" si="161"/>
        <v>59.83584160529405</v>
      </c>
      <c r="O61" s="79">
        <f t="shared" ref="O61:P61" si="162">SUM(O58:O60)</f>
        <v>42.021474263008848</v>
      </c>
      <c r="P61" s="79">
        <f t="shared" si="162"/>
        <v>39.66443231453772</v>
      </c>
      <c r="Q61" s="79">
        <f t="shared" ref="Q61:R61" si="163">SUM(Q58:Q60)</f>
        <v>47.86020709357885</v>
      </c>
      <c r="R61" s="79">
        <f t="shared" si="163"/>
        <v>43.537195441446158</v>
      </c>
      <c r="S61" s="79">
        <f t="shared" ref="S61:T61" si="164">SUM(S58:S60)</f>
        <v>45.651937239833501</v>
      </c>
      <c r="T61" s="79">
        <f t="shared" si="164"/>
        <v>43.594093123947154</v>
      </c>
      <c r="U61" s="79">
        <f t="shared" ref="U61:V61" si="165">SUM(U58:U60)</f>
        <v>50.994517466788494</v>
      </c>
      <c r="V61" s="79">
        <f t="shared" si="165"/>
        <v>43.200819315059313</v>
      </c>
      <c r="W61" s="79">
        <f t="shared" ref="W61:X61" si="166">SUM(W58:W60)</f>
        <v>42.918370082434151</v>
      </c>
      <c r="X61" s="79">
        <f t="shared" si="166"/>
        <v>48.660389110569227</v>
      </c>
      <c r="Y61" s="79">
        <f t="shared" ref="Y61:Z61" si="167">SUM(Y58:Y60)</f>
        <v>53.893771260345133</v>
      </c>
      <c r="Z61" s="79">
        <f t="shared" si="167"/>
        <v>41.469068457512591</v>
      </c>
      <c r="AA61" s="79">
        <f t="shared" ref="AA61:AB61" si="168">SUM(AA58:AA60)</f>
        <v>44.837893654343965</v>
      </c>
      <c r="AB61" s="79">
        <f t="shared" si="168"/>
        <v>45.425585499604111</v>
      </c>
      <c r="AC61" s="107">
        <f t="shared" ref="AC61:AD61" si="169">SUM(AC58:AC60)</f>
        <v>55.977106995535962</v>
      </c>
      <c r="AD61" s="79">
        <f t="shared" si="169"/>
        <v>52.09521698282505</v>
      </c>
      <c r="AE61" s="79">
        <f t="shared" ref="AE61:AF61" si="170">SUM(AE58:AE60)</f>
        <v>45.677671970930959</v>
      </c>
      <c r="AF61" s="79">
        <f t="shared" si="170"/>
        <v>43.411145428726563</v>
      </c>
      <c r="AG61" s="79">
        <f t="shared" ref="AG61:AH61" si="171">SUM(AG58:AG60)</f>
        <v>48.526126727750281</v>
      </c>
      <c r="AH61" s="79">
        <f t="shared" si="171"/>
        <v>57.200690866396911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1"/>
  <sheetViews>
    <sheetView tabSelected="1" topLeftCell="A27" zoomScale="110" zoomScaleNormal="110" workbookViewId="0">
      <pane xSplit="4" topLeftCell="G1" activePane="topRight" state="frozen"/>
      <selection activeCell="A34" sqref="A34"/>
      <selection pane="topRight" activeCell="H56" sqref="H56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3.7109375" hidden="1" customWidth="1"/>
    <col min="4" max="4" width="10.42578125" hidden="1" customWidth="1"/>
    <col min="5" max="5" width="14.7109375" customWidth="1"/>
    <col min="6" max="6" width="16.140625" customWidth="1"/>
    <col min="7" max="7" width="13" customWidth="1"/>
    <col min="8" max="8" width="11.28515625" bestFit="1" customWidth="1"/>
    <col min="9" max="10" width="14.140625" customWidth="1"/>
    <col min="11" max="11" width="13.28515625" customWidth="1"/>
    <col min="12" max="12" width="18" customWidth="1"/>
    <col min="13" max="14" width="15" customWidth="1"/>
    <col min="15" max="16" width="19.85546875" customWidth="1"/>
    <col min="17" max="17" width="10" bestFit="1" customWidth="1"/>
    <col min="19" max="20" width="10" bestFit="1" customWidth="1"/>
  </cols>
  <sheetData>
    <row r="1" spans="1:16" ht="23.25" x14ac:dyDescent="0.25">
      <c r="A1" s="2"/>
      <c r="B1" s="3">
        <v>46113</v>
      </c>
    </row>
    <row r="2" spans="1:16" ht="18.75" x14ac:dyDescent="0.25">
      <c r="A2" s="4" t="s">
        <v>2</v>
      </c>
      <c r="B2" s="4" t="s">
        <v>3</v>
      </c>
      <c r="C2" s="26">
        <v>46111</v>
      </c>
      <c r="D2" s="26">
        <v>46112</v>
      </c>
      <c r="E2" s="26">
        <v>46113</v>
      </c>
      <c r="F2" s="26">
        <v>46114</v>
      </c>
      <c r="G2" s="26">
        <v>46115</v>
      </c>
      <c r="H2" s="26">
        <v>46116</v>
      </c>
      <c r="I2" s="26">
        <v>46117</v>
      </c>
      <c r="J2" s="26">
        <v>46118</v>
      </c>
      <c r="K2" s="26">
        <v>46119</v>
      </c>
      <c r="L2" s="26">
        <v>46120</v>
      </c>
      <c r="M2" s="26">
        <v>46121</v>
      </c>
      <c r="N2" s="26">
        <v>46122</v>
      </c>
      <c r="O2" s="26">
        <v>46123</v>
      </c>
      <c r="P2" s="26">
        <v>46124</v>
      </c>
    </row>
    <row r="3" spans="1:16" ht="15.75" x14ac:dyDescent="0.25">
      <c r="A3" s="5"/>
      <c r="B3" s="6"/>
      <c r="C3" s="27"/>
      <c r="D3" s="27"/>
      <c r="E3" s="27"/>
      <c r="F3" s="27"/>
      <c r="G3" s="27"/>
      <c r="H3" s="27"/>
      <c r="I3" s="27"/>
      <c r="J3" s="27"/>
      <c r="K3" s="27"/>
    </row>
    <row r="4" spans="1:16" ht="15.75" x14ac:dyDescent="0.25">
      <c r="A4" s="7" t="s">
        <v>4</v>
      </c>
      <c r="B4" s="7" t="s">
        <v>5</v>
      </c>
      <c r="C4" s="82">
        <v>202967027</v>
      </c>
      <c r="D4" s="82">
        <v>202967028</v>
      </c>
      <c r="E4" s="82">
        <v>202967028</v>
      </c>
      <c r="F4" s="82">
        <v>202967028</v>
      </c>
      <c r="G4" s="82">
        <v>202967028</v>
      </c>
      <c r="H4" s="82">
        <v>202967028</v>
      </c>
      <c r="I4" s="82">
        <v>202967029</v>
      </c>
      <c r="J4" s="82">
        <v>202967029</v>
      </c>
      <c r="K4" s="82">
        <v>202967029</v>
      </c>
      <c r="L4" s="82">
        <v>202967029</v>
      </c>
      <c r="M4" s="82">
        <v>202967030</v>
      </c>
      <c r="N4" s="82">
        <v>202967031</v>
      </c>
      <c r="O4" s="82">
        <v>202967031</v>
      </c>
      <c r="P4" s="82">
        <v>202967031</v>
      </c>
    </row>
    <row r="5" spans="1:16" ht="15.75" x14ac:dyDescent="0.25">
      <c r="A5" s="7"/>
      <c r="B5" s="7" t="s">
        <v>6</v>
      </c>
      <c r="C5" s="82">
        <v>71167650</v>
      </c>
      <c r="D5" s="82">
        <v>71340380</v>
      </c>
      <c r="E5" s="82">
        <v>71510670</v>
      </c>
      <c r="F5" s="82">
        <v>71713832</v>
      </c>
      <c r="G5" s="82">
        <v>71901195</v>
      </c>
      <c r="H5" s="82">
        <v>72095830</v>
      </c>
      <c r="I5" s="82">
        <v>72279704</v>
      </c>
      <c r="J5" s="82">
        <v>72450490</v>
      </c>
      <c r="K5" s="82">
        <v>72568928</v>
      </c>
      <c r="L5" s="82">
        <v>72708533</v>
      </c>
      <c r="M5" s="82">
        <v>72852210</v>
      </c>
      <c r="N5" s="82">
        <v>72995032</v>
      </c>
      <c r="O5" s="82">
        <v>73141554</v>
      </c>
      <c r="P5" s="82">
        <v>73274123</v>
      </c>
    </row>
    <row r="6" spans="1:16" ht="15.75" x14ac:dyDescent="0.25">
      <c r="A6" s="7" t="s">
        <v>7</v>
      </c>
      <c r="B6" s="7" t="s">
        <v>8</v>
      </c>
      <c r="C6" s="82">
        <v>88380727</v>
      </c>
      <c r="D6" s="82">
        <v>88596359</v>
      </c>
      <c r="E6" s="82">
        <v>88808866</v>
      </c>
      <c r="F6" s="82">
        <v>89032913</v>
      </c>
      <c r="G6" s="82">
        <v>89254579</v>
      </c>
      <c r="H6" s="82">
        <v>89473939</v>
      </c>
      <c r="I6" s="82">
        <v>89703848</v>
      </c>
      <c r="J6" s="82">
        <v>89920503</v>
      </c>
      <c r="K6" s="82">
        <v>90102586</v>
      </c>
      <c r="L6" s="82">
        <v>90317009</v>
      </c>
      <c r="M6" s="82">
        <v>90473241</v>
      </c>
      <c r="N6" s="82">
        <v>90473327</v>
      </c>
      <c r="O6" s="82">
        <v>90473404</v>
      </c>
      <c r="P6" s="82">
        <v>90473448</v>
      </c>
    </row>
    <row r="7" spans="1:16" ht="15.75" x14ac:dyDescent="0.25">
      <c r="A7" s="8"/>
      <c r="B7" s="7" t="s">
        <v>9</v>
      </c>
      <c r="C7" s="82">
        <v>209527069</v>
      </c>
      <c r="D7" s="82">
        <v>209687679</v>
      </c>
      <c r="E7" s="82">
        <v>209846438</v>
      </c>
      <c r="F7" s="82">
        <v>210028556</v>
      </c>
      <c r="G7" s="82">
        <v>210200046</v>
      </c>
      <c r="H7" s="82">
        <v>210374413</v>
      </c>
      <c r="I7" s="82">
        <v>210550238</v>
      </c>
      <c r="J7" s="82">
        <v>210727539</v>
      </c>
      <c r="K7" s="82">
        <v>210856850</v>
      </c>
      <c r="L7" s="82">
        <v>210964513</v>
      </c>
      <c r="M7" s="82">
        <v>211100326</v>
      </c>
      <c r="N7" s="82">
        <v>211293269</v>
      </c>
      <c r="O7" s="82">
        <v>211488297</v>
      </c>
      <c r="P7" s="82">
        <v>211656819</v>
      </c>
    </row>
    <row r="8" spans="1:16" ht="15.75" x14ac:dyDescent="0.25">
      <c r="A8" s="7"/>
      <c r="B8" s="7" t="s">
        <v>10</v>
      </c>
      <c r="C8" s="82">
        <v>163238905</v>
      </c>
      <c r="D8" s="82">
        <v>163238917</v>
      </c>
      <c r="E8" s="82">
        <v>163238939</v>
      </c>
      <c r="F8" s="82">
        <v>163238957</v>
      </c>
      <c r="G8" s="82">
        <v>163238979</v>
      </c>
      <c r="H8" s="82">
        <v>163239006</v>
      </c>
      <c r="I8" s="82">
        <v>163239044</v>
      </c>
      <c r="J8" s="82">
        <v>163239063</v>
      </c>
      <c r="K8" s="82">
        <v>163239087</v>
      </c>
      <c r="L8" s="82">
        <v>163239126</v>
      </c>
      <c r="M8" s="82">
        <v>163265235</v>
      </c>
      <c r="N8" s="82">
        <v>163377464</v>
      </c>
      <c r="O8" s="82">
        <v>163493788</v>
      </c>
      <c r="P8" s="82">
        <v>163594854</v>
      </c>
    </row>
    <row r="9" spans="1:16" ht="15.75" x14ac:dyDescent="0.25">
      <c r="A9" s="9" t="s">
        <v>11</v>
      </c>
      <c r="B9" s="9"/>
      <c r="C9" s="68">
        <f t="shared" ref="C9:H9" si="0">SUM(C4:C8)</f>
        <v>735281378</v>
      </c>
      <c r="D9" s="68">
        <f t="shared" si="0"/>
        <v>735830363</v>
      </c>
      <c r="E9" s="68">
        <f t="shared" si="0"/>
        <v>736371941</v>
      </c>
      <c r="F9" s="68">
        <f t="shared" si="0"/>
        <v>736981286</v>
      </c>
      <c r="G9" s="68">
        <f t="shared" si="0"/>
        <v>737561827</v>
      </c>
      <c r="H9" s="68">
        <f t="shared" si="0"/>
        <v>738150216</v>
      </c>
      <c r="I9" s="68">
        <f t="shared" ref="I9:M9" si="1">SUM(I4:I8)</f>
        <v>738739863</v>
      </c>
      <c r="J9" s="68">
        <f t="shared" si="1"/>
        <v>739304624</v>
      </c>
      <c r="K9" s="68">
        <f t="shared" si="1"/>
        <v>739734480</v>
      </c>
      <c r="L9" s="68">
        <f t="shared" si="1"/>
        <v>740196210</v>
      </c>
      <c r="M9" s="68">
        <f t="shared" si="1"/>
        <v>740658042</v>
      </c>
      <c r="N9" s="68">
        <f t="shared" ref="N9:O9" si="2">SUM(N4:N8)</f>
        <v>741106123</v>
      </c>
      <c r="O9" s="68">
        <f t="shared" si="2"/>
        <v>741564074</v>
      </c>
      <c r="P9" s="68">
        <f t="shared" ref="P9" si="3">SUM(P4:P8)</f>
        <v>741966275</v>
      </c>
    </row>
    <row r="10" spans="1:16" ht="15.75" x14ac:dyDescent="0.25">
      <c r="A10" s="7"/>
      <c r="B10" s="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</row>
    <row r="11" spans="1:16" ht="15.75" x14ac:dyDescent="0.25">
      <c r="A11" s="7" t="s">
        <v>12</v>
      </c>
      <c r="B11" s="7" t="s">
        <v>13</v>
      </c>
      <c r="C11" s="82">
        <v>197366395</v>
      </c>
      <c r="D11" s="82">
        <v>197468917</v>
      </c>
      <c r="E11" s="82">
        <v>197610007</v>
      </c>
      <c r="F11" s="82">
        <v>197757575</v>
      </c>
      <c r="G11" s="111">
        <v>197872056</v>
      </c>
      <c r="H11" s="27">
        <v>197975445</v>
      </c>
      <c r="I11" s="27">
        <v>198112109</v>
      </c>
      <c r="J11" s="27">
        <v>198239736</v>
      </c>
      <c r="K11" s="82">
        <v>198288789</v>
      </c>
      <c r="L11" s="82">
        <v>198288789</v>
      </c>
      <c r="M11" s="82">
        <v>198328511</v>
      </c>
      <c r="N11" s="82">
        <v>198410037</v>
      </c>
      <c r="O11" s="82">
        <v>198530706</v>
      </c>
      <c r="P11" s="82">
        <v>198564295</v>
      </c>
    </row>
    <row r="12" spans="1:16" ht="15.75" x14ac:dyDescent="0.25">
      <c r="A12" s="7" t="s">
        <v>14</v>
      </c>
      <c r="B12" s="7" t="s">
        <v>13</v>
      </c>
      <c r="C12" s="82">
        <v>155208238</v>
      </c>
      <c r="D12" s="82">
        <v>155289549</v>
      </c>
      <c r="E12" s="82">
        <v>155421506</v>
      </c>
      <c r="F12" s="82">
        <v>155525387</v>
      </c>
      <c r="G12" s="111">
        <v>155679814</v>
      </c>
      <c r="H12" s="27">
        <v>155813740</v>
      </c>
      <c r="I12" s="27">
        <v>155955177</v>
      </c>
      <c r="J12" s="27">
        <v>156057126</v>
      </c>
      <c r="K12" s="41">
        <v>156152126</v>
      </c>
      <c r="L12" s="82">
        <v>156351933</v>
      </c>
      <c r="M12" s="82">
        <v>156516675</v>
      </c>
      <c r="N12" s="82">
        <v>156589776</v>
      </c>
      <c r="O12" s="82">
        <v>156713931</v>
      </c>
      <c r="P12" s="82">
        <v>156765447</v>
      </c>
    </row>
    <row r="13" spans="1:16" ht="15.75" x14ac:dyDescent="0.25">
      <c r="A13" s="7"/>
      <c r="B13" s="7"/>
      <c r="C13" s="27"/>
      <c r="D13" s="27"/>
      <c r="E13" s="27"/>
      <c r="F13" s="27"/>
      <c r="G13" s="46"/>
      <c r="H13" s="27"/>
      <c r="I13" s="27"/>
      <c r="J13" s="27"/>
      <c r="K13" s="27"/>
      <c r="L13" s="27"/>
      <c r="M13" s="27"/>
      <c r="N13" s="27"/>
      <c r="O13" s="27"/>
      <c r="P13" s="27"/>
    </row>
    <row r="14" spans="1:16" ht="15.75" x14ac:dyDescent="0.25">
      <c r="A14" s="7" t="s">
        <v>15</v>
      </c>
      <c r="B14" s="7" t="s">
        <v>16</v>
      </c>
      <c r="C14" s="41">
        <v>15078642</v>
      </c>
      <c r="D14" s="41">
        <v>15088372</v>
      </c>
      <c r="E14" s="41">
        <v>15098452</v>
      </c>
      <c r="F14" s="41">
        <v>15108846</v>
      </c>
      <c r="G14" s="44">
        <v>15119565</v>
      </c>
      <c r="H14" s="41">
        <v>15130488</v>
      </c>
      <c r="I14" s="41">
        <v>15141166</v>
      </c>
      <c r="J14" s="41">
        <v>15151250</v>
      </c>
      <c r="K14" s="41">
        <v>15155979</v>
      </c>
      <c r="L14" s="41">
        <v>15166885</v>
      </c>
      <c r="M14" s="41">
        <v>15173981</v>
      </c>
      <c r="N14" s="41">
        <v>15182754</v>
      </c>
      <c r="O14" s="41">
        <v>15193068</v>
      </c>
      <c r="P14" s="41">
        <v>15205037</v>
      </c>
    </row>
    <row r="15" spans="1:16" ht="15.75" x14ac:dyDescent="0.25">
      <c r="A15" s="7" t="s">
        <v>17</v>
      </c>
      <c r="B15" s="7" t="s">
        <v>18</v>
      </c>
      <c r="C15" s="41">
        <v>13931857</v>
      </c>
      <c r="D15" s="41">
        <v>13942749</v>
      </c>
      <c r="E15" s="41">
        <v>13954558</v>
      </c>
      <c r="F15" s="41">
        <v>13966249</v>
      </c>
      <c r="G15" s="44">
        <v>13978172</v>
      </c>
      <c r="H15" s="41">
        <v>13990500</v>
      </c>
      <c r="I15" s="41">
        <v>14002571</v>
      </c>
      <c r="J15" s="41">
        <v>14013862</v>
      </c>
      <c r="K15" s="41">
        <v>14020844</v>
      </c>
      <c r="L15" s="41">
        <v>14028257</v>
      </c>
      <c r="M15" s="41">
        <v>14039017</v>
      </c>
      <c r="N15" s="41">
        <v>14042499</v>
      </c>
      <c r="O15" s="41">
        <v>14049884</v>
      </c>
      <c r="P15" s="41">
        <v>14058261</v>
      </c>
    </row>
    <row r="16" spans="1:16" ht="15.75" x14ac:dyDescent="0.25">
      <c r="A16" s="7" t="s">
        <v>19</v>
      </c>
      <c r="B16" s="7" t="s">
        <v>20</v>
      </c>
      <c r="C16" s="41">
        <v>4608253</v>
      </c>
      <c r="D16" s="41">
        <v>4608366</v>
      </c>
      <c r="E16" s="41">
        <v>4608476</v>
      </c>
      <c r="F16" s="41">
        <v>4608588</v>
      </c>
      <c r="G16" s="44">
        <v>4608700</v>
      </c>
      <c r="H16" s="41">
        <v>4608813</v>
      </c>
      <c r="I16" s="41">
        <v>4608925</v>
      </c>
      <c r="J16" s="41">
        <v>4609038</v>
      </c>
      <c r="K16" s="41">
        <v>4609154</v>
      </c>
      <c r="L16" s="41">
        <v>4609269</v>
      </c>
      <c r="M16" s="41">
        <v>4609357</v>
      </c>
      <c r="N16" s="41">
        <v>4614966</v>
      </c>
      <c r="O16" s="41">
        <v>4615484</v>
      </c>
      <c r="P16" s="41">
        <v>4615575</v>
      </c>
    </row>
    <row r="17" spans="1:16" ht="15.75" x14ac:dyDescent="0.25">
      <c r="A17" s="7"/>
      <c r="B17" s="7"/>
      <c r="C17" s="27"/>
      <c r="D17" s="27"/>
      <c r="E17" s="27"/>
      <c r="F17" s="27"/>
      <c r="G17" s="46"/>
      <c r="H17" s="27"/>
      <c r="I17" s="27"/>
      <c r="J17" s="27"/>
      <c r="K17" s="27"/>
      <c r="L17" s="27"/>
      <c r="M17" s="27"/>
      <c r="N17" s="27"/>
      <c r="O17" s="27"/>
      <c r="P17" s="27"/>
    </row>
    <row r="18" spans="1:16" ht="15.75" x14ac:dyDescent="0.25">
      <c r="A18" s="7" t="s">
        <v>21</v>
      </c>
      <c r="B18" s="7" t="s">
        <v>22</v>
      </c>
      <c r="C18" s="41">
        <v>9641906</v>
      </c>
      <c r="D18" s="41">
        <v>9652874</v>
      </c>
      <c r="E18" s="41">
        <v>9663820</v>
      </c>
      <c r="F18" s="41">
        <v>9675082</v>
      </c>
      <c r="G18" s="44">
        <v>9686206</v>
      </c>
      <c r="H18" s="41">
        <v>9697681</v>
      </c>
      <c r="I18" s="41">
        <v>9709050</v>
      </c>
      <c r="J18" s="41">
        <v>9720520</v>
      </c>
      <c r="K18" s="41">
        <v>9729274</v>
      </c>
      <c r="L18" s="41">
        <v>9740824</v>
      </c>
      <c r="M18" s="41">
        <v>9752218</v>
      </c>
      <c r="N18" s="41">
        <v>9763657</v>
      </c>
      <c r="O18" s="41">
        <v>9775161</v>
      </c>
      <c r="P18" s="41">
        <v>9785887</v>
      </c>
    </row>
    <row r="19" spans="1:16" ht="15.75" x14ac:dyDescent="0.25">
      <c r="A19" s="7" t="s">
        <v>23</v>
      </c>
      <c r="B19" s="7" t="s">
        <v>24</v>
      </c>
      <c r="C19" s="41">
        <v>15899211</v>
      </c>
      <c r="D19" s="41">
        <v>15911946</v>
      </c>
      <c r="E19" s="41">
        <v>15924627</v>
      </c>
      <c r="F19" s="41">
        <v>15937915</v>
      </c>
      <c r="G19" s="44">
        <v>15950884</v>
      </c>
      <c r="H19" s="41">
        <v>15964402</v>
      </c>
      <c r="I19" s="41">
        <v>15977675</v>
      </c>
      <c r="J19" s="41">
        <v>15991186</v>
      </c>
      <c r="K19" s="41">
        <v>16001802</v>
      </c>
      <c r="L19" s="41">
        <v>16015220</v>
      </c>
      <c r="M19" s="41">
        <v>16028458</v>
      </c>
      <c r="N19" s="41">
        <v>16041944</v>
      </c>
      <c r="O19" s="41">
        <v>16055716</v>
      </c>
      <c r="P19" s="41">
        <v>16067265</v>
      </c>
    </row>
    <row r="20" spans="1:16" ht="15.75" x14ac:dyDescent="0.25">
      <c r="A20" s="7" t="s">
        <v>25</v>
      </c>
      <c r="B20" s="7" t="s">
        <v>26</v>
      </c>
      <c r="C20" s="41">
        <v>5571346</v>
      </c>
      <c r="D20" s="41">
        <v>5571453</v>
      </c>
      <c r="E20" s="41">
        <v>5571558</v>
      </c>
      <c r="F20" s="41">
        <v>5571664</v>
      </c>
      <c r="G20" s="44">
        <v>5571772</v>
      </c>
      <c r="H20" s="41">
        <v>5571880</v>
      </c>
      <c r="I20" s="41">
        <v>5571987</v>
      </c>
      <c r="J20" s="41">
        <v>5572095</v>
      </c>
      <c r="K20" s="41">
        <v>5572207</v>
      </c>
      <c r="L20" s="41">
        <v>5572319</v>
      </c>
      <c r="M20" s="41">
        <v>5572429</v>
      </c>
      <c r="N20" s="41">
        <v>5572541</v>
      </c>
      <c r="O20" s="41">
        <v>5572650</v>
      </c>
      <c r="P20" s="41">
        <v>5572757</v>
      </c>
    </row>
    <row r="21" spans="1:16" ht="15.75" x14ac:dyDescent="0.25">
      <c r="A21" s="7"/>
      <c r="B21" s="7" t="s">
        <v>27</v>
      </c>
      <c r="C21" s="41">
        <v>723679</v>
      </c>
      <c r="D21" s="41">
        <v>723714</v>
      </c>
      <c r="E21" s="41">
        <v>725004</v>
      </c>
      <c r="F21" s="41">
        <v>726779</v>
      </c>
      <c r="G21" s="44">
        <v>728525</v>
      </c>
      <c r="H21" s="41">
        <v>729630</v>
      </c>
      <c r="I21" s="41">
        <v>730191</v>
      </c>
      <c r="J21" s="41">
        <v>730225</v>
      </c>
      <c r="K21" s="41">
        <v>730260</v>
      </c>
      <c r="L21" s="41">
        <v>730295</v>
      </c>
      <c r="M21" s="41">
        <v>731019</v>
      </c>
      <c r="N21" s="41">
        <v>731054</v>
      </c>
      <c r="O21" s="41">
        <v>731089</v>
      </c>
      <c r="P21" s="41">
        <v>731123</v>
      </c>
    </row>
    <row r="22" spans="1:16" ht="15.75" x14ac:dyDescent="0.25">
      <c r="A22" s="7"/>
      <c r="B22" s="7" t="s">
        <v>28</v>
      </c>
      <c r="C22" s="41">
        <v>751047</v>
      </c>
      <c r="D22" s="41">
        <v>751084</v>
      </c>
      <c r="E22" s="41">
        <v>752398</v>
      </c>
      <c r="F22" s="41">
        <v>754167</v>
      </c>
      <c r="G22" s="44">
        <v>755918</v>
      </c>
      <c r="H22" s="41">
        <v>757043</v>
      </c>
      <c r="I22" s="41">
        <v>757608</v>
      </c>
      <c r="J22" s="41">
        <v>757646</v>
      </c>
      <c r="K22" s="41">
        <v>757682</v>
      </c>
      <c r="L22" s="41">
        <v>757720</v>
      </c>
      <c r="M22" s="41">
        <v>758451</v>
      </c>
      <c r="N22" s="41">
        <v>758489</v>
      </c>
      <c r="O22" s="41">
        <v>758526</v>
      </c>
      <c r="P22" s="41">
        <v>758562</v>
      </c>
    </row>
    <row r="23" spans="1:16" ht="15.75" x14ac:dyDescent="0.25">
      <c r="A23" s="7"/>
      <c r="B23" s="7"/>
      <c r="C23" s="27"/>
      <c r="D23" s="27"/>
      <c r="E23" s="27"/>
      <c r="F23" s="27"/>
      <c r="G23" s="46"/>
      <c r="H23" s="27"/>
      <c r="I23" s="27"/>
      <c r="J23" s="27"/>
      <c r="K23" s="27"/>
      <c r="L23" s="27"/>
      <c r="M23" s="27"/>
      <c r="N23" s="27"/>
      <c r="O23" s="27"/>
      <c r="P23" s="27"/>
    </row>
    <row r="24" spans="1:16" ht="15.75" x14ac:dyDescent="0.25">
      <c r="A24" s="7" t="s">
        <v>29</v>
      </c>
      <c r="B24" s="7" t="s">
        <v>30</v>
      </c>
      <c r="C24" s="41">
        <v>19644637</v>
      </c>
      <c r="D24" s="41">
        <v>19657162</v>
      </c>
      <c r="E24" s="41">
        <v>19669761</v>
      </c>
      <c r="F24" s="41">
        <v>19682730</v>
      </c>
      <c r="G24" s="44">
        <v>19696263</v>
      </c>
      <c r="H24" s="41">
        <v>19709377</v>
      </c>
      <c r="I24" s="41">
        <v>19722395</v>
      </c>
      <c r="J24" s="41">
        <v>19735542</v>
      </c>
      <c r="K24" s="41">
        <v>19746280</v>
      </c>
      <c r="L24" s="41">
        <v>19759385</v>
      </c>
      <c r="M24" s="41">
        <v>19774403</v>
      </c>
      <c r="N24" s="41">
        <v>19788237</v>
      </c>
      <c r="O24" s="41">
        <v>19803266</v>
      </c>
      <c r="P24" s="41">
        <v>19813009</v>
      </c>
    </row>
    <row r="25" spans="1:16" ht="15.75" x14ac:dyDescent="0.25">
      <c r="A25" s="7" t="s">
        <v>31</v>
      </c>
      <c r="B25" s="7" t="s">
        <v>32</v>
      </c>
      <c r="C25" s="41">
        <v>17394863</v>
      </c>
      <c r="D25" s="41">
        <v>17405608</v>
      </c>
      <c r="E25" s="41">
        <v>17417858</v>
      </c>
      <c r="F25" s="41">
        <v>17431943</v>
      </c>
      <c r="G25" s="44">
        <v>17445889</v>
      </c>
      <c r="H25" s="41">
        <v>17460494</v>
      </c>
      <c r="I25" s="41">
        <v>17473931</v>
      </c>
      <c r="J25" s="41">
        <v>17487092</v>
      </c>
      <c r="K25" s="41">
        <v>17488918</v>
      </c>
      <c r="L25" s="41">
        <v>17490772</v>
      </c>
      <c r="M25" s="41">
        <v>17492346</v>
      </c>
      <c r="N25" s="41">
        <v>17494981</v>
      </c>
      <c r="O25" s="41">
        <v>17497081</v>
      </c>
      <c r="P25" s="41">
        <v>17497635</v>
      </c>
    </row>
    <row r="26" spans="1:16" ht="15.75" x14ac:dyDescent="0.25">
      <c r="A26" s="7" t="s">
        <v>33</v>
      </c>
      <c r="B26" s="7" t="s">
        <v>34</v>
      </c>
      <c r="C26" s="41">
        <v>6292850</v>
      </c>
      <c r="D26" s="41">
        <v>6299052</v>
      </c>
      <c r="E26" s="41">
        <v>6304517</v>
      </c>
      <c r="F26" s="41">
        <v>6309559</v>
      </c>
      <c r="G26" s="44">
        <v>6314642</v>
      </c>
      <c r="H26" s="41">
        <v>6319893</v>
      </c>
      <c r="I26" s="41">
        <v>6325013</v>
      </c>
      <c r="J26" s="41">
        <v>6330514</v>
      </c>
      <c r="K26" s="41">
        <v>6333663</v>
      </c>
      <c r="L26" s="41">
        <v>6336763</v>
      </c>
      <c r="M26" s="41">
        <v>6340069</v>
      </c>
      <c r="N26" s="41">
        <v>6343621</v>
      </c>
      <c r="O26" s="41">
        <v>6346892</v>
      </c>
      <c r="P26" s="41">
        <v>6349450</v>
      </c>
    </row>
    <row r="27" spans="1:16" ht="15.75" x14ac:dyDescent="0.25">
      <c r="A27" s="7" t="s">
        <v>35</v>
      </c>
      <c r="B27" s="7" t="s">
        <v>36</v>
      </c>
      <c r="C27" s="41">
        <v>94383701</v>
      </c>
      <c r="D27" s="41">
        <v>94434844</v>
      </c>
      <c r="E27" s="41">
        <v>94485282</v>
      </c>
      <c r="F27" s="41">
        <v>94540648</v>
      </c>
      <c r="G27" s="44">
        <v>94595711</v>
      </c>
      <c r="H27" s="41">
        <v>94651661</v>
      </c>
      <c r="I27" s="41">
        <v>94709112</v>
      </c>
      <c r="J27" s="41">
        <v>94767381</v>
      </c>
      <c r="K27" s="41">
        <v>94818283</v>
      </c>
      <c r="L27" s="41">
        <v>94864126</v>
      </c>
      <c r="M27" s="41">
        <v>94912192</v>
      </c>
      <c r="N27" s="41">
        <v>94960932</v>
      </c>
      <c r="O27" s="41">
        <v>95012019</v>
      </c>
      <c r="P27" s="41">
        <v>95058005</v>
      </c>
    </row>
    <row r="28" spans="1:16" ht="15.75" x14ac:dyDescent="0.25">
      <c r="A28" s="7" t="s">
        <v>37</v>
      </c>
      <c r="B28" s="7" t="s">
        <v>38</v>
      </c>
      <c r="C28" s="41">
        <v>5510275</v>
      </c>
      <c r="D28" s="41">
        <v>5514408</v>
      </c>
      <c r="E28" s="41">
        <v>5518478</v>
      </c>
      <c r="F28" s="41">
        <v>5522768</v>
      </c>
      <c r="G28" s="44">
        <v>5527065</v>
      </c>
      <c r="H28" s="41">
        <v>5531443</v>
      </c>
      <c r="I28" s="41">
        <v>5535976</v>
      </c>
      <c r="J28" s="41">
        <v>5540335</v>
      </c>
      <c r="K28" s="41">
        <v>5544525</v>
      </c>
      <c r="L28" s="41">
        <v>5548498</v>
      </c>
      <c r="M28" s="41">
        <v>5552477</v>
      </c>
      <c r="N28" s="41">
        <v>5556017</v>
      </c>
      <c r="O28" s="41">
        <v>5559788</v>
      </c>
      <c r="P28" s="41">
        <v>5563287</v>
      </c>
    </row>
    <row r="29" spans="1:16" ht="15.75" x14ac:dyDescent="0.25">
      <c r="A29" s="7" t="s">
        <v>77</v>
      </c>
      <c r="B29" s="7" t="s">
        <v>79</v>
      </c>
      <c r="C29" s="41">
        <v>7801943</v>
      </c>
      <c r="D29" s="41">
        <v>7889984</v>
      </c>
      <c r="E29" s="41">
        <v>7978689</v>
      </c>
      <c r="F29" s="41">
        <v>8073475</v>
      </c>
      <c r="G29" s="44">
        <v>8167450</v>
      </c>
      <c r="H29" s="41">
        <v>8261301</v>
      </c>
      <c r="I29" s="41">
        <v>8355748</v>
      </c>
      <c r="J29" s="41">
        <v>8446202</v>
      </c>
      <c r="K29" s="41">
        <v>8529414</v>
      </c>
      <c r="L29" s="41">
        <v>8639209</v>
      </c>
      <c r="M29" s="41">
        <v>8756326</v>
      </c>
      <c r="N29" s="41">
        <v>8867295</v>
      </c>
      <c r="O29" s="41">
        <v>8973905</v>
      </c>
      <c r="P29" s="41">
        <v>9071901</v>
      </c>
    </row>
    <row r="30" spans="1:16" ht="15.75" x14ac:dyDescent="0.25">
      <c r="A30" s="7" t="s">
        <v>78</v>
      </c>
      <c r="B30" s="7" t="s">
        <v>40</v>
      </c>
      <c r="C30" s="41">
        <v>176500630</v>
      </c>
      <c r="D30" s="41">
        <v>176523669</v>
      </c>
      <c r="E30" s="41">
        <v>176549622</v>
      </c>
      <c r="F30" s="41">
        <v>176581117</v>
      </c>
      <c r="G30" s="44">
        <v>176611358</v>
      </c>
      <c r="H30" s="41">
        <v>176639486</v>
      </c>
      <c r="I30" s="41">
        <v>176669266</v>
      </c>
      <c r="J30" s="41">
        <v>176701507</v>
      </c>
      <c r="K30" s="41">
        <v>176713965</v>
      </c>
      <c r="L30" s="41">
        <v>176713965</v>
      </c>
      <c r="M30" s="41">
        <v>176713966</v>
      </c>
      <c r="N30" s="41">
        <v>176713966</v>
      </c>
      <c r="O30" s="41">
        <v>176713966</v>
      </c>
      <c r="P30" s="41">
        <v>176713967</v>
      </c>
    </row>
    <row r="31" spans="1:16" ht="15.75" x14ac:dyDescent="0.25">
      <c r="A31" s="7" t="s">
        <v>80</v>
      </c>
      <c r="B31" s="7" t="s">
        <v>81</v>
      </c>
      <c r="C31" s="41">
        <v>3262338</v>
      </c>
      <c r="D31" s="41">
        <v>3263256</v>
      </c>
      <c r="E31" s="41">
        <v>3280156</v>
      </c>
      <c r="F31" s="41">
        <v>3291003</v>
      </c>
      <c r="G31" s="44">
        <v>3292965</v>
      </c>
      <c r="H31" s="41">
        <v>3298426</v>
      </c>
      <c r="I31" s="41">
        <v>3308080</v>
      </c>
      <c r="J31" s="41">
        <v>3314234</v>
      </c>
      <c r="K31" s="41">
        <v>3327083</v>
      </c>
      <c r="L31" s="41">
        <v>3337493</v>
      </c>
      <c r="M31" s="41">
        <v>3344372</v>
      </c>
      <c r="N31" s="41">
        <v>3353607</v>
      </c>
      <c r="O31" s="41">
        <v>3361538</v>
      </c>
      <c r="P31" s="41">
        <v>3368190</v>
      </c>
    </row>
    <row r="32" spans="1:16" ht="15.75" x14ac:dyDescent="0.25">
      <c r="A32" s="7"/>
      <c r="B32" s="7"/>
      <c r="C32" s="27"/>
      <c r="D32" s="27"/>
      <c r="E32" s="27"/>
      <c r="F32" s="27"/>
      <c r="G32" s="46"/>
      <c r="H32" s="27"/>
      <c r="I32" s="27"/>
      <c r="J32" s="27"/>
      <c r="K32" s="27"/>
      <c r="L32" s="27"/>
      <c r="M32" s="27"/>
      <c r="N32" s="27"/>
      <c r="O32" s="27"/>
      <c r="P32" s="27"/>
    </row>
    <row r="33" spans="1:16" ht="15.75" x14ac:dyDescent="0.25">
      <c r="A33" s="7" t="s">
        <v>43</v>
      </c>
      <c r="B33" s="7" t="s">
        <v>44</v>
      </c>
      <c r="C33" s="41">
        <v>75820618</v>
      </c>
      <c r="D33" s="41">
        <v>75820621</v>
      </c>
      <c r="E33" s="41">
        <v>75820623</v>
      </c>
      <c r="F33" s="41">
        <v>75820625</v>
      </c>
      <c r="G33" s="44">
        <v>75820627</v>
      </c>
      <c r="H33" s="41">
        <v>75820629</v>
      </c>
      <c r="I33" s="41">
        <v>75820632</v>
      </c>
      <c r="J33" s="41">
        <v>75820634</v>
      </c>
      <c r="K33" s="41">
        <v>75820636</v>
      </c>
      <c r="L33" s="41">
        <v>75820638</v>
      </c>
      <c r="M33" s="41">
        <v>75820641</v>
      </c>
      <c r="N33" s="41">
        <v>75820643</v>
      </c>
      <c r="O33" s="41">
        <v>75820696</v>
      </c>
      <c r="P33" s="41">
        <v>75820648</v>
      </c>
    </row>
    <row r="34" spans="1:16" ht="15.75" x14ac:dyDescent="0.25">
      <c r="A34" s="7" t="s">
        <v>47</v>
      </c>
      <c r="B34" s="7" t="s">
        <v>48</v>
      </c>
      <c r="C34" s="41">
        <v>17096036</v>
      </c>
      <c r="D34" s="41">
        <v>17183782</v>
      </c>
      <c r="E34" s="41">
        <v>17266179</v>
      </c>
      <c r="F34" s="41">
        <v>17352963</v>
      </c>
      <c r="G34" s="44">
        <v>17438054</v>
      </c>
      <c r="H34" s="41">
        <v>17519540</v>
      </c>
      <c r="I34" s="41">
        <v>17604507</v>
      </c>
      <c r="J34" s="41">
        <v>17685298</v>
      </c>
      <c r="K34" s="41">
        <v>17756052</v>
      </c>
      <c r="L34" s="41">
        <v>17831137</v>
      </c>
      <c r="M34" s="41">
        <v>17892544</v>
      </c>
      <c r="N34" s="41">
        <v>17944451</v>
      </c>
      <c r="O34" s="41">
        <v>18003407</v>
      </c>
      <c r="P34" s="41">
        <v>18049376</v>
      </c>
    </row>
    <row r="35" spans="1:16" ht="15.75" x14ac:dyDescent="0.25">
      <c r="A35" s="11"/>
      <c r="B35" s="11"/>
      <c r="C35" s="27"/>
      <c r="D35" s="27"/>
      <c r="E35" s="27"/>
      <c r="F35" s="27"/>
      <c r="H35" s="27"/>
      <c r="I35" s="27"/>
      <c r="J35" s="27"/>
      <c r="K35" s="27"/>
      <c r="L35" s="27"/>
      <c r="M35" s="27"/>
      <c r="N35" s="27"/>
      <c r="O35" s="27"/>
      <c r="P35" s="27"/>
    </row>
    <row r="36" spans="1:16" ht="15.75" x14ac:dyDescent="0.25">
      <c r="A36" s="11" t="s">
        <v>49</v>
      </c>
      <c r="B36" s="11"/>
      <c r="C36" s="69">
        <f t="shared" ref="C36:D36" si="4">SUM(C11:C12)</f>
        <v>352574633</v>
      </c>
      <c r="D36" s="69">
        <f t="shared" si="4"/>
        <v>352758466</v>
      </c>
      <c r="E36" s="69">
        <f t="shared" ref="E36:F36" si="5">SUM(E11:E12)</f>
        <v>353031513</v>
      </c>
      <c r="F36" s="69">
        <f t="shared" si="5"/>
        <v>353282962</v>
      </c>
      <c r="G36" s="97">
        <f t="shared" ref="G36" si="6">SUM(G11:G12)</f>
        <v>353551870</v>
      </c>
      <c r="H36" s="97">
        <f t="shared" ref="H36:M36" si="7">SUM(H11:H12)</f>
        <v>353789185</v>
      </c>
      <c r="I36" s="69">
        <f t="shared" si="7"/>
        <v>354067286</v>
      </c>
      <c r="J36" s="69">
        <f t="shared" si="7"/>
        <v>354296862</v>
      </c>
      <c r="K36" s="69">
        <f t="shared" si="7"/>
        <v>354440915</v>
      </c>
      <c r="L36" s="69">
        <f t="shared" si="7"/>
        <v>354640722</v>
      </c>
      <c r="M36" s="69">
        <f t="shared" si="7"/>
        <v>354845186</v>
      </c>
      <c r="N36" s="69">
        <f t="shared" ref="N36:O36" si="8">SUM(N11:N12)</f>
        <v>354999813</v>
      </c>
      <c r="O36" s="69">
        <f t="shared" si="8"/>
        <v>355244637</v>
      </c>
      <c r="P36" s="69">
        <f t="shared" ref="P36" si="9">SUM(P11:P12)</f>
        <v>355329742</v>
      </c>
    </row>
    <row r="37" spans="1:16" ht="18.75" x14ac:dyDescent="0.25">
      <c r="A37" s="12" t="s">
        <v>50</v>
      </c>
      <c r="B37" s="12"/>
      <c r="C37" s="69">
        <f t="shared" ref="C37:D37" si="10">C33+C34</f>
        <v>92916654</v>
      </c>
      <c r="D37" s="69">
        <f t="shared" si="10"/>
        <v>93004403</v>
      </c>
      <c r="E37" s="69">
        <f t="shared" ref="E37:F37" si="11">E33+E34</f>
        <v>93086802</v>
      </c>
      <c r="F37" s="69">
        <f t="shared" si="11"/>
        <v>93173588</v>
      </c>
      <c r="G37" s="97">
        <f t="shared" ref="G37:H37" si="12">G33+G34</f>
        <v>93258681</v>
      </c>
      <c r="H37" s="69">
        <f t="shared" si="12"/>
        <v>93340169</v>
      </c>
      <c r="I37" s="69">
        <f t="shared" ref="I37:J37" si="13">I33+I34</f>
        <v>93425139</v>
      </c>
      <c r="J37" s="69">
        <f t="shared" si="13"/>
        <v>93505932</v>
      </c>
      <c r="K37" s="69">
        <f t="shared" ref="K37:L37" si="14">K33+K34</f>
        <v>93576688</v>
      </c>
      <c r="L37" s="69">
        <f t="shared" si="14"/>
        <v>93651775</v>
      </c>
      <c r="M37" s="69">
        <f t="shared" ref="M37" si="15">M33+M34</f>
        <v>93713185</v>
      </c>
      <c r="N37" s="69">
        <f t="shared" ref="N37:O37" si="16">N33+N34</f>
        <v>93765094</v>
      </c>
      <c r="O37" s="69">
        <f t="shared" si="16"/>
        <v>93824103</v>
      </c>
      <c r="P37" s="69">
        <f t="shared" ref="P37" si="17">P33+P34</f>
        <v>93870024</v>
      </c>
    </row>
    <row r="38" spans="1:16" ht="18.75" x14ac:dyDescent="0.25">
      <c r="A38" s="13" t="s">
        <v>51</v>
      </c>
      <c r="B38" s="13"/>
      <c r="C38" s="69">
        <f t="shared" ref="C38:D38" si="18">SUM(C14,C15,C16,C18,C19,C20,C21,C22,C31)</f>
        <v>69468279</v>
      </c>
      <c r="D38" s="69">
        <f t="shared" si="18"/>
        <v>69513814</v>
      </c>
      <c r="E38" s="69">
        <f t="shared" ref="E38:J38" si="19">SUM(E14,E15,E16,E18,E19,E20,E21,E22,E31)</f>
        <v>69579049</v>
      </c>
      <c r="F38" s="69">
        <f t="shared" si="19"/>
        <v>69640293</v>
      </c>
      <c r="G38" s="97">
        <f t="shared" si="19"/>
        <v>69692707</v>
      </c>
      <c r="H38" s="69">
        <f t="shared" si="19"/>
        <v>69748863</v>
      </c>
      <c r="I38" s="69">
        <f t="shared" si="19"/>
        <v>69807253</v>
      </c>
      <c r="J38" s="69">
        <f t="shared" si="19"/>
        <v>69860056</v>
      </c>
      <c r="K38" s="69">
        <f t="shared" ref="K38:L38" si="20">SUM(K14,K15,K16,K18,K19,K20,K21,K22,K31)</f>
        <v>69904285</v>
      </c>
      <c r="L38" s="69">
        <f t="shared" si="20"/>
        <v>69958282</v>
      </c>
      <c r="M38" s="69">
        <f t="shared" ref="M38" si="21">SUM(M14,M15,M16,M18,M19,M20,M21,M22,M31)</f>
        <v>70009302</v>
      </c>
      <c r="N38" s="69">
        <f t="shared" ref="N38:O38" si="22">SUM(N14,N15,N16,N18,N19,N20,N21,N22,N31)</f>
        <v>70061511</v>
      </c>
      <c r="O38" s="69">
        <f t="shared" si="22"/>
        <v>70113116</v>
      </c>
      <c r="P38" s="69">
        <f t="shared" ref="P38" si="23">SUM(P14,P15,P16,P18,P19,P20,P21,P22,P31)</f>
        <v>70162657</v>
      </c>
    </row>
    <row r="39" spans="1:16" ht="18.75" x14ac:dyDescent="0.25">
      <c r="A39" s="14" t="s">
        <v>52</v>
      </c>
      <c r="B39" s="14"/>
      <c r="C39" s="69">
        <f t="shared" ref="C39:D39" si="24">C9-C37-C38</f>
        <v>572896445</v>
      </c>
      <c r="D39" s="69">
        <f t="shared" si="24"/>
        <v>573312146</v>
      </c>
      <c r="E39" s="69">
        <f t="shared" ref="E39:F39" si="25">E9-E37-E38</f>
        <v>573706090</v>
      </c>
      <c r="F39" s="69">
        <f t="shared" si="25"/>
        <v>574167405</v>
      </c>
      <c r="G39" s="97">
        <f t="shared" ref="G39:H39" si="26">G9-G37-G38</f>
        <v>574610439</v>
      </c>
      <c r="H39" s="69">
        <f t="shared" si="26"/>
        <v>575061184</v>
      </c>
      <c r="I39" s="69">
        <f t="shared" ref="I39:J39" si="27">I9-I37-I38</f>
        <v>575507471</v>
      </c>
      <c r="J39" s="69">
        <f t="shared" si="27"/>
        <v>575938636</v>
      </c>
      <c r="K39" s="69">
        <f t="shared" ref="K39:L39" si="28">K9-K37-K38</f>
        <v>576253507</v>
      </c>
      <c r="L39" s="69">
        <f t="shared" si="28"/>
        <v>576586153</v>
      </c>
      <c r="M39" s="69">
        <f t="shared" ref="M39" si="29">M9-M37-M38</f>
        <v>576935555</v>
      </c>
      <c r="N39" s="69">
        <f t="shared" ref="N39:O39" si="30">N9-N37-N38</f>
        <v>577279518</v>
      </c>
      <c r="O39" s="69">
        <f t="shared" si="30"/>
        <v>577626855</v>
      </c>
      <c r="P39" s="69">
        <f t="shared" ref="P39" si="31">P9-P37-P38</f>
        <v>577933594</v>
      </c>
    </row>
    <row r="40" spans="1:16" ht="18.75" x14ac:dyDescent="0.25">
      <c r="A40" s="14" t="s">
        <v>82</v>
      </c>
      <c r="B40" s="14"/>
      <c r="C40" s="70">
        <f t="shared" ref="C40:D40" si="32">C29+C30</f>
        <v>184302573</v>
      </c>
      <c r="D40" s="70">
        <f t="shared" si="32"/>
        <v>184413653</v>
      </c>
      <c r="E40" s="70">
        <f t="shared" ref="E40:F40" si="33">E29+E30</f>
        <v>184528311</v>
      </c>
      <c r="F40" s="70">
        <f t="shared" si="33"/>
        <v>184654592</v>
      </c>
      <c r="G40" s="98">
        <f t="shared" ref="G40:H40" si="34">G29+G30</f>
        <v>184778808</v>
      </c>
      <c r="H40" s="70">
        <f t="shared" si="34"/>
        <v>184900787</v>
      </c>
      <c r="I40" s="70">
        <f t="shared" ref="I40:J40" si="35">I29+I30</f>
        <v>185025014</v>
      </c>
      <c r="J40" s="70">
        <f t="shared" si="35"/>
        <v>185147709</v>
      </c>
      <c r="K40" s="70">
        <f t="shared" ref="K40:L40" si="36">K29+K30</f>
        <v>185243379</v>
      </c>
      <c r="L40" s="70">
        <f t="shared" si="36"/>
        <v>185353174</v>
      </c>
      <c r="M40" s="70">
        <f t="shared" ref="M40" si="37">M29+M30</f>
        <v>185470292</v>
      </c>
      <c r="N40" s="70">
        <f t="shared" ref="N40:O40" si="38">N29+N30</f>
        <v>185581261</v>
      </c>
      <c r="O40" s="70">
        <f t="shared" si="38"/>
        <v>185687871</v>
      </c>
      <c r="P40" s="70">
        <f t="shared" ref="P40" si="39">P29+P30</f>
        <v>185785868</v>
      </c>
    </row>
    <row r="41" spans="1:16" ht="18.75" x14ac:dyDescent="0.25">
      <c r="A41" s="14"/>
      <c r="B41" s="14"/>
      <c r="C41" s="27"/>
      <c r="D41" s="27"/>
      <c r="E41" s="27"/>
      <c r="F41" s="27"/>
      <c r="G41" s="46"/>
      <c r="H41" s="27"/>
      <c r="I41" s="27"/>
      <c r="J41" s="27"/>
      <c r="K41" s="27"/>
      <c r="L41" s="27"/>
      <c r="M41" s="27"/>
      <c r="N41" s="27"/>
      <c r="O41" s="27"/>
      <c r="P41" s="27"/>
    </row>
    <row r="42" spans="1:16" ht="18.75" x14ac:dyDescent="0.25">
      <c r="A42" s="15" t="s">
        <v>53</v>
      </c>
      <c r="B42" s="15"/>
      <c r="C42" s="71">
        <f t="shared" ref="C42:P42" si="40">C37-B37</f>
        <v>92916654</v>
      </c>
      <c r="D42" s="71">
        <f t="shared" si="40"/>
        <v>87749</v>
      </c>
      <c r="E42" s="71">
        <f t="shared" si="40"/>
        <v>82399</v>
      </c>
      <c r="F42" s="71">
        <f t="shared" si="40"/>
        <v>86786</v>
      </c>
      <c r="G42" s="99">
        <f t="shared" si="40"/>
        <v>85093</v>
      </c>
      <c r="H42" s="71">
        <f t="shared" si="40"/>
        <v>81488</v>
      </c>
      <c r="I42" s="71">
        <f t="shared" si="40"/>
        <v>84970</v>
      </c>
      <c r="J42" s="71">
        <f t="shared" si="40"/>
        <v>80793</v>
      </c>
      <c r="K42" s="71">
        <f t="shared" si="40"/>
        <v>70756</v>
      </c>
      <c r="L42" s="71">
        <f t="shared" si="40"/>
        <v>75087</v>
      </c>
      <c r="M42" s="71">
        <f t="shared" si="40"/>
        <v>61410</v>
      </c>
      <c r="N42" s="71">
        <f t="shared" si="40"/>
        <v>51909</v>
      </c>
      <c r="O42" s="71">
        <f t="shared" si="40"/>
        <v>59009</v>
      </c>
      <c r="P42" s="71">
        <f t="shared" si="40"/>
        <v>45921</v>
      </c>
    </row>
    <row r="43" spans="1:16" ht="18.75" x14ac:dyDescent="0.25">
      <c r="A43" s="16" t="s">
        <v>55</v>
      </c>
      <c r="B43" s="16"/>
      <c r="C43" s="72">
        <f t="shared" ref="C43:P43" si="41">C40-B40</f>
        <v>184302573</v>
      </c>
      <c r="D43" s="72">
        <f t="shared" si="41"/>
        <v>111080</v>
      </c>
      <c r="E43" s="72">
        <f t="shared" si="41"/>
        <v>114658</v>
      </c>
      <c r="F43" s="72">
        <f t="shared" si="41"/>
        <v>126281</v>
      </c>
      <c r="G43" s="100">
        <f t="shared" si="41"/>
        <v>124216</v>
      </c>
      <c r="H43" s="72">
        <f t="shared" si="41"/>
        <v>121979</v>
      </c>
      <c r="I43" s="72">
        <f t="shared" si="41"/>
        <v>124227</v>
      </c>
      <c r="J43" s="72">
        <f t="shared" si="41"/>
        <v>122695</v>
      </c>
      <c r="K43" s="72">
        <f t="shared" si="41"/>
        <v>95670</v>
      </c>
      <c r="L43" s="72">
        <f t="shared" si="41"/>
        <v>109795</v>
      </c>
      <c r="M43" s="72">
        <f t="shared" si="41"/>
        <v>117118</v>
      </c>
      <c r="N43" s="72">
        <f t="shared" si="41"/>
        <v>110969</v>
      </c>
      <c r="O43" s="72">
        <f t="shared" si="41"/>
        <v>106610</v>
      </c>
      <c r="P43" s="72">
        <f t="shared" si="41"/>
        <v>97997</v>
      </c>
    </row>
    <row r="44" spans="1:16" ht="18.75" x14ac:dyDescent="0.25">
      <c r="A44" s="18" t="s">
        <v>57</v>
      </c>
      <c r="B44" s="18"/>
      <c r="C44" s="73">
        <f t="shared" ref="C44:P44" si="42">(C38-B38)+C43*0.65</f>
        <v>189264951.44999999</v>
      </c>
      <c r="D44" s="73">
        <f t="shared" si="42"/>
        <v>117737</v>
      </c>
      <c r="E44" s="73">
        <f t="shared" si="42"/>
        <v>139762.70000000001</v>
      </c>
      <c r="F44" s="73">
        <f t="shared" si="42"/>
        <v>143326.65000000002</v>
      </c>
      <c r="G44" s="101">
        <f t="shared" si="42"/>
        <v>133154.40000000002</v>
      </c>
      <c r="H44" s="73">
        <f t="shared" si="42"/>
        <v>135442.35</v>
      </c>
      <c r="I44" s="73">
        <f t="shared" si="42"/>
        <v>139137.54999999999</v>
      </c>
      <c r="J44" s="73">
        <f t="shared" si="42"/>
        <v>132554.75</v>
      </c>
      <c r="K44" s="73">
        <f t="shared" si="42"/>
        <v>106414.5</v>
      </c>
      <c r="L44" s="73">
        <f t="shared" si="42"/>
        <v>125363.75</v>
      </c>
      <c r="M44" s="73">
        <f t="shared" si="42"/>
        <v>127146.7</v>
      </c>
      <c r="N44" s="73">
        <f t="shared" si="42"/>
        <v>124338.85</v>
      </c>
      <c r="O44" s="73">
        <f t="shared" si="42"/>
        <v>120901.5</v>
      </c>
      <c r="P44" s="73">
        <f t="shared" si="42"/>
        <v>113239.05</v>
      </c>
    </row>
    <row r="45" spans="1:16" ht="18.75" x14ac:dyDescent="0.25">
      <c r="A45" s="19" t="s">
        <v>59</v>
      </c>
      <c r="B45" s="19"/>
      <c r="C45" s="74">
        <f t="shared" ref="C45:P45" si="43">C39-B39-0.65*C43-C42</f>
        <v>360183118.55000001</v>
      </c>
      <c r="D45" s="74">
        <f t="shared" si="43"/>
        <v>255750</v>
      </c>
      <c r="E45" s="74">
        <f t="shared" si="43"/>
        <v>237017.3</v>
      </c>
      <c r="F45" s="74">
        <f t="shared" si="43"/>
        <v>292446.34999999998</v>
      </c>
      <c r="G45" s="102">
        <f t="shared" si="43"/>
        <v>277200.59999999998</v>
      </c>
      <c r="H45" s="74">
        <f t="shared" si="43"/>
        <v>289970.65000000002</v>
      </c>
      <c r="I45" s="74">
        <f t="shared" si="43"/>
        <v>280569.45</v>
      </c>
      <c r="J45" s="74">
        <f t="shared" si="43"/>
        <v>270620.25</v>
      </c>
      <c r="K45" s="74">
        <f t="shared" si="43"/>
        <v>181929.5</v>
      </c>
      <c r="L45" s="74">
        <f t="shared" si="43"/>
        <v>186192.25</v>
      </c>
      <c r="M45" s="74">
        <f t="shared" si="43"/>
        <v>211865.3</v>
      </c>
      <c r="N45" s="74">
        <f t="shared" si="43"/>
        <v>219924.15000000002</v>
      </c>
      <c r="O45" s="74">
        <f t="shared" si="43"/>
        <v>219031.5</v>
      </c>
      <c r="P45" s="74">
        <f t="shared" si="43"/>
        <v>197119.95</v>
      </c>
    </row>
    <row r="46" spans="1:16" ht="18.75" x14ac:dyDescent="0.25">
      <c r="A46" s="20" t="s">
        <v>61</v>
      </c>
      <c r="B46" s="20"/>
      <c r="C46" s="75">
        <f t="shared" ref="C46:P46" si="44">C36-B36</f>
        <v>352574633</v>
      </c>
      <c r="D46" s="75">
        <f t="shared" si="44"/>
        <v>183833</v>
      </c>
      <c r="E46" s="75">
        <f t="shared" si="44"/>
        <v>273047</v>
      </c>
      <c r="F46" s="75">
        <f t="shared" si="44"/>
        <v>251449</v>
      </c>
      <c r="G46" s="103">
        <f t="shared" si="44"/>
        <v>268908</v>
      </c>
      <c r="H46" s="103">
        <f t="shared" si="44"/>
        <v>237315</v>
      </c>
      <c r="I46" s="75">
        <f t="shared" si="44"/>
        <v>278101</v>
      </c>
      <c r="J46" s="75">
        <f t="shared" si="44"/>
        <v>229576</v>
      </c>
      <c r="K46" s="75">
        <f t="shared" si="44"/>
        <v>144053</v>
      </c>
      <c r="L46" s="75">
        <f t="shared" si="44"/>
        <v>199807</v>
      </c>
      <c r="M46" s="75">
        <f t="shared" si="44"/>
        <v>204464</v>
      </c>
      <c r="N46" s="75">
        <f t="shared" si="44"/>
        <v>154627</v>
      </c>
      <c r="O46" s="75">
        <f t="shared" si="44"/>
        <v>244824</v>
      </c>
      <c r="P46" s="75">
        <f t="shared" si="44"/>
        <v>85105</v>
      </c>
    </row>
    <row r="47" spans="1:16" ht="18.75" x14ac:dyDescent="0.25">
      <c r="A47" s="21" t="s">
        <v>63</v>
      </c>
      <c r="B47" s="21"/>
      <c r="C47" s="76">
        <f t="shared" ref="C47:H47" si="45">C44+C45+C46</f>
        <v>902022703</v>
      </c>
      <c r="D47" s="76">
        <f t="shared" si="45"/>
        <v>557320</v>
      </c>
      <c r="E47" s="76">
        <f t="shared" si="45"/>
        <v>649827</v>
      </c>
      <c r="F47" s="76">
        <f t="shared" si="45"/>
        <v>687222</v>
      </c>
      <c r="G47" s="104">
        <f t="shared" si="45"/>
        <v>679263</v>
      </c>
      <c r="H47" s="76">
        <f t="shared" si="45"/>
        <v>662728</v>
      </c>
      <c r="I47" s="76">
        <f t="shared" ref="I47:J47" si="46">I44+I45+I46</f>
        <v>697808</v>
      </c>
      <c r="J47" s="76">
        <f t="shared" si="46"/>
        <v>632751</v>
      </c>
      <c r="K47" s="76">
        <f t="shared" ref="K47:L47" si="47">K44+K45+K46</f>
        <v>432397</v>
      </c>
      <c r="L47" s="76">
        <f t="shared" si="47"/>
        <v>511363</v>
      </c>
      <c r="M47" s="76">
        <f t="shared" ref="M47" si="48">M44+M45+M46</f>
        <v>543476</v>
      </c>
      <c r="N47" s="76">
        <f t="shared" ref="N47:O47" si="49">N44+N45+N46</f>
        <v>498890</v>
      </c>
      <c r="O47" s="76">
        <f t="shared" si="49"/>
        <v>584757</v>
      </c>
      <c r="P47" s="76">
        <f t="shared" ref="P47" si="50">P44+P45+P46</f>
        <v>395464</v>
      </c>
    </row>
    <row r="48" spans="1:16" x14ac:dyDescent="0.25">
      <c r="A48" s="22"/>
      <c r="B48" s="22"/>
      <c r="C48" s="27"/>
      <c r="D48" s="27"/>
      <c r="E48" s="27"/>
      <c r="F48" s="27"/>
      <c r="G48" s="46"/>
      <c r="H48" s="27"/>
      <c r="I48" s="27"/>
      <c r="J48" s="27"/>
      <c r="K48" s="27"/>
      <c r="L48" s="27"/>
      <c r="M48" s="27"/>
      <c r="N48" s="27"/>
      <c r="O48" s="27"/>
      <c r="P48" s="27"/>
    </row>
    <row r="49" spans="1:16" ht="15.75" x14ac:dyDescent="0.25">
      <c r="A49" s="7" t="s">
        <v>64</v>
      </c>
      <c r="B49" s="7"/>
      <c r="C49" s="77" t="e">
        <f t="shared" ref="C49:P49" si="51">C24-B24</f>
        <v>#VALUE!</v>
      </c>
      <c r="D49" s="77">
        <f t="shared" si="51"/>
        <v>12525</v>
      </c>
      <c r="E49" s="77">
        <f t="shared" si="51"/>
        <v>12599</v>
      </c>
      <c r="F49" s="77">
        <f t="shared" si="51"/>
        <v>12969</v>
      </c>
      <c r="G49" s="105">
        <f t="shared" si="51"/>
        <v>13533</v>
      </c>
      <c r="H49" s="77">
        <f t="shared" si="51"/>
        <v>13114</v>
      </c>
      <c r="I49" s="77">
        <f t="shared" si="51"/>
        <v>13018</v>
      </c>
      <c r="J49" s="77">
        <f t="shared" si="51"/>
        <v>13147</v>
      </c>
      <c r="K49" s="77">
        <f t="shared" si="51"/>
        <v>10738</v>
      </c>
      <c r="L49" s="77">
        <f t="shared" si="51"/>
        <v>13105</v>
      </c>
      <c r="M49" s="77">
        <f t="shared" si="51"/>
        <v>15018</v>
      </c>
      <c r="N49" s="77">
        <f t="shared" si="51"/>
        <v>13834</v>
      </c>
      <c r="O49" s="77">
        <f t="shared" si="51"/>
        <v>15029</v>
      </c>
      <c r="P49" s="77">
        <f t="shared" si="51"/>
        <v>9743</v>
      </c>
    </row>
    <row r="50" spans="1:16" ht="15.75" x14ac:dyDescent="0.25">
      <c r="A50" s="7" t="s">
        <v>65</v>
      </c>
      <c r="B50" s="7"/>
      <c r="C50" s="77" t="e">
        <f t="shared" ref="C50:P53" si="52">C25-B25</f>
        <v>#VALUE!</v>
      </c>
      <c r="D50" s="77">
        <f t="shared" si="52"/>
        <v>10745</v>
      </c>
      <c r="E50" s="77">
        <f t="shared" si="52"/>
        <v>12250</v>
      </c>
      <c r="F50" s="77">
        <f t="shared" si="52"/>
        <v>14085</v>
      </c>
      <c r="G50" s="105">
        <f t="shared" si="52"/>
        <v>13946</v>
      </c>
      <c r="H50" s="77">
        <f t="shared" si="52"/>
        <v>14605</v>
      </c>
      <c r="I50" s="77">
        <f t="shared" si="52"/>
        <v>13437</v>
      </c>
      <c r="J50" s="77">
        <f t="shared" si="52"/>
        <v>13161</v>
      </c>
      <c r="K50" s="77">
        <f t="shared" si="52"/>
        <v>1826</v>
      </c>
      <c r="L50" s="77">
        <f t="shared" si="52"/>
        <v>1854</v>
      </c>
      <c r="M50" s="77">
        <f t="shared" si="52"/>
        <v>1574</v>
      </c>
      <c r="N50" s="77">
        <f t="shared" si="52"/>
        <v>2635</v>
      </c>
      <c r="O50" s="77">
        <f t="shared" si="52"/>
        <v>2100</v>
      </c>
      <c r="P50" s="77">
        <f t="shared" si="52"/>
        <v>554</v>
      </c>
    </row>
    <row r="51" spans="1:16" ht="15.75" x14ac:dyDescent="0.25">
      <c r="A51" s="7" t="s">
        <v>66</v>
      </c>
      <c r="B51" s="7"/>
      <c r="C51" s="77" t="e">
        <f t="shared" si="52"/>
        <v>#VALUE!</v>
      </c>
      <c r="D51" s="77">
        <f t="shared" si="52"/>
        <v>6202</v>
      </c>
      <c r="E51" s="77">
        <f t="shared" si="52"/>
        <v>5465</v>
      </c>
      <c r="F51" s="77">
        <f t="shared" si="52"/>
        <v>5042</v>
      </c>
      <c r="G51" s="105">
        <f t="shared" si="52"/>
        <v>5083</v>
      </c>
      <c r="H51" s="77">
        <f t="shared" si="52"/>
        <v>5251</v>
      </c>
      <c r="I51" s="77">
        <f t="shared" si="52"/>
        <v>5120</v>
      </c>
      <c r="J51" s="77">
        <f t="shared" si="52"/>
        <v>5501</v>
      </c>
      <c r="K51" s="77">
        <f t="shared" si="52"/>
        <v>3149</v>
      </c>
      <c r="L51" s="77">
        <f t="shared" si="52"/>
        <v>3100</v>
      </c>
      <c r="M51" s="77">
        <f t="shared" si="52"/>
        <v>3306</v>
      </c>
      <c r="N51" s="77">
        <f t="shared" si="52"/>
        <v>3552</v>
      </c>
      <c r="O51" s="77">
        <f t="shared" si="52"/>
        <v>3271</v>
      </c>
      <c r="P51" s="77">
        <f t="shared" si="52"/>
        <v>2558</v>
      </c>
    </row>
    <row r="52" spans="1:16" ht="15.75" x14ac:dyDescent="0.25">
      <c r="A52" s="7" t="s">
        <v>67</v>
      </c>
      <c r="B52" s="7"/>
      <c r="C52" s="77" t="e">
        <f t="shared" si="52"/>
        <v>#VALUE!</v>
      </c>
      <c r="D52" s="77">
        <f t="shared" si="52"/>
        <v>51143</v>
      </c>
      <c r="E52" s="77">
        <f t="shared" si="52"/>
        <v>50438</v>
      </c>
      <c r="F52" s="77">
        <f t="shared" si="52"/>
        <v>55366</v>
      </c>
      <c r="G52" s="105">
        <f t="shared" si="52"/>
        <v>55063</v>
      </c>
      <c r="H52" s="77">
        <f t="shared" si="52"/>
        <v>55950</v>
      </c>
      <c r="I52" s="77">
        <f t="shared" si="52"/>
        <v>57451</v>
      </c>
      <c r="J52" s="77">
        <f t="shared" si="52"/>
        <v>58269</v>
      </c>
      <c r="K52" s="77">
        <f t="shared" si="52"/>
        <v>50902</v>
      </c>
      <c r="L52" s="77">
        <f t="shared" si="52"/>
        <v>45843</v>
      </c>
      <c r="M52" s="77">
        <f t="shared" si="52"/>
        <v>48066</v>
      </c>
      <c r="N52" s="77">
        <f t="shared" si="52"/>
        <v>48740</v>
      </c>
      <c r="O52" s="77">
        <f t="shared" si="52"/>
        <v>51087</v>
      </c>
      <c r="P52" s="77">
        <f t="shared" si="52"/>
        <v>45986</v>
      </c>
    </row>
    <row r="53" spans="1:16" ht="15.75" x14ac:dyDescent="0.25">
      <c r="A53" s="7" t="s">
        <v>68</v>
      </c>
      <c r="B53" s="7"/>
      <c r="C53" s="77" t="e">
        <f t="shared" si="52"/>
        <v>#VALUE!</v>
      </c>
      <c r="D53" s="77">
        <f t="shared" si="52"/>
        <v>4133</v>
      </c>
      <c r="E53" s="77">
        <f t="shared" si="52"/>
        <v>4070</v>
      </c>
      <c r="F53" s="77">
        <f t="shared" si="52"/>
        <v>4290</v>
      </c>
      <c r="G53" s="105">
        <f t="shared" si="52"/>
        <v>4297</v>
      </c>
      <c r="H53" s="77">
        <f t="shared" si="52"/>
        <v>4378</v>
      </c>
      <c r="I53" s="77">
        <f t="shared" si="52"/>
        <v>4533</v>
      </c>
      <c r="J53" s="77">
        <f t="shared" si="52"/>
        <v>4359</v>
      </c>
      <c r="K53" s="77">
        <f t="shared" si="52"/>
        <v>4190</v>
      </c>
      <c r="L53" s="77">
        <f t="shared" si="52"/>
        <v>3973</v>
      </c>
      <c r="M53" s="77">
        <f t="shared" si="52"/>
        <v>3979</v>
      </c>
      <c r="N53" s="77">
        <f t="shared" si="52"/>
        <v>3540</v>
      </c>
      <c r="O53" s="77">
        <f t="shared" si="52"/>
        <v>3771</v>
      </c>
      <c r="P53" s="77">
        <f t="shared" si="52"/>
        <v>3499</v>
      </c>
    </row>
    <row r="54" spans="1:16" ht="18.75" x14ac:dyDescent="0.25">
      <c r="A54" s="23" t="s">
        <v>70</v>
      </c>
      <c r="B54" s="23"/>
      <c r="C54" s="113" t="e">
        <f t="shared" ref="C54:H54" si="53">SUM(C49:C53)</f>
        <v>#VALUE!</v>
      </c>
      <c r="D54" s="113">
        <f t="shared" si="53"/>
        <v>84748</v>
      </c>
      <c r="E54" s="113">
        <f t="shared" si="53"/>
        <v>84822</v>
      </c>
      <c r="F54" s="113">
        <f t="shared" si="53"/>
        <v>91752</v>
      </c>
      <c r="G54" s="114">
        <f t="shared" si="53"/>
        <v>91922</v>
      </c>
      <c r="H54" s="113">
        <f t="shared" si="53"/>
        <v>93298</v>
      </c>
      <c r="I54" s="113">
        <f t="shared" ref="I54:J54" si="54">SUM(I49:I53)</f>
        <v>93559</v>
      </c>
      <c r="J54" s="113">
        <f t="shared" si="54"/>
        <v>94437</v>
      </c>
      <c r="K54" s="113">
        <f t="shared" ref="K54:L54" si="55">SUM(K49:K53)</f>
        <v>70805</v>
      </c>
      <c r="L54" s="113">
        <f t="shared" si="55"/>
        <v>67875</v>
      </c>
      <c r="M54" s="113">
        <f t="shared" ref="M54" si="56">SUM(M49:M53)</f>
        <v>71943</v>
      </c>
      <c r="N54" s="113">
        <f t="shared" ref="N54:O54" si="57">SUM(N49:N53)</f>
        <v>72301</v>
      </c>
      <c r="O54" s="113">
        <f t="shared" si="57"/>
        <v>75258</v>
      </c>
      <c r="P54" s="113">
        <f t="shared" ref="P54" si="58">SUM(P49:P53)</f>
        <v>62340</v>
      </c>
    </row>
    <row r="55" spans="1:16" ht="18.75" x14ac:dyDescent="0.25">
      <c r="A55" s="17" t="s">
        <v>71</v>
      </c>
      <c r="B55" s="17"/>
      <c r="C55" s="41">
        <v>43</v>
      </c>
      <c r="D55" s="41">
        <v>27</v>
      </c>
      <c r="E55" s="41">
        <v>32</v>
      </c>
      <c r="F55" s="41">
        <v>37</v>
      </c>
      <c r="G55" s="44">
        <v>41</v>
      </c>
      <c r="H55" s="41">
        <v>45</v>
      </c>
      <c r="I55" s="41">
        <v>43</v>
      </c>
      <c r="J55" s="41">
        <v>37</v>
      </c>
      <c r="K55" s="41">
        <v>16</v>
      </c>
      <c r="L55" s="8">
        <v>27</v>
      </c>
      <c r="M55" s="41">
        <v>26</v>
      </c>
      <c r="N55" s="41">
        <v>27</v>
      </c>
      <c r="O55" s="41">
        <v>31</v>
      </c>
      <c r="P55" s="41">
        <v>15</v>
      </c>
    </row>
    <row r="56" spans="1:16" ht="18.75" x14ac:dyDescent="0.25">
      <c r="A56" s="17" t="s">
        <v>72</v>
      </c>
      <c r="B56" s="17"/>
      <c r="C56" s="41">
        <v>42</v>
      </c>
      <c r="D56" s="41">
        <v>33</v>
      </c>
      <c r="E56" s="41">
        <v>27</v>
      </c>
      <c r="F56" s="41">
        <v>39</v>
      </c>
      <c r="G56" s="44">
        <v>37</v>
      </c>
      <c r="H56" s="41">
        <v>46</v>
      </c>
      <c r="I56" s="41">
        <v>43</v>
      </c>
      <c r="J56" s="41">
        <v>42</v>
      </c>
      <c r="K56" s="41">
        <v>17</v>
      </c>
      <c r="L56" s="8">
        <v>27</v>
      </c>
      <c r="M56" s="41">
        <v>24</v>
      </c>
      <c r="N56" s="41">
        <v>28</v>
      </c>
      <c r="O56" s="41">
        <v>29</v>
      </c>
      <c r="P56" s="41">
        <v>20</v>
      </c>
    </row>
    <row r="57" spans="1:16" x14ac:dyDescent="0.25">
      <c r="A57" s="24"/>
      <c r="B57" s="25"/>
      <c r="C57" s="27"/>
      <c r="D57" s="27"/>
      <c r="E57" s="27"/>
      <c r="F57" s="27"/>
      <c r="G57" s="46"/>
      <c r="H57" s="27"/>
      <c r="I57" s="27"/>
      <c r="J57" s="27"/>
      <c r="K57" s="27"/>
      <c r="L57" s="27"/>
      <c r="M57" s="27"/>
      <c r="N57" s="27"/>
      <c r="O57" s="27"/>
      <c r="P57" s="27"/>
    </row>
    <row r="58" spans="1:16" x14ac:dyDescent="0.25">
      <c r="A58" s="22" t="s">
        <v>73</v>
      </c>
      <c r="B58" s="22"/>
      <c r="C58" s="79">
        <f t="shared" ref="C58:H58" si="59">C44/(C56*347)</f>
        <v>12986.479446274187</v>
      </c>
      <c r="D58" s="79">
        <f t="shared" si="59"/>
        <v>10.281809448956423</v>
      </c>
      <c r="E58" s="79">
        <f t="shared" si="59"/>
        <v>14.917568577222758</v>
      </c>
      <c r="F58" s="79">
        <f t="shared" si="59"/>
        <v>10.590900022168036</v>
      </c>
      <c r="G58" s="107">
        <f t="shared" si="59"/>
        <v>10.371088090972819</v>
      </c>
      <c r="H58" s="79">
        <f t="shared" si="59"/>
        <v>8.4852994612203982</v>
      </c>
      <c r="I58" s="79">
        <f t="shared" ref="I58:J58" si="60">I44/(I56*347)</f>
        <v>9.3249480597815158</v>
      </c>
      <c r="J58" s="79">
        <f t="shared" si="60"/>
        <v>9.0952895567448877</v>
      </c>
      <c r="K58" s="79">
        <f t="shared" ref="K58:L58" si="61">K44/(K56*347)</f>
        <v>18.039413459908459</v>
      </c>
      <c r="L58" s="79">
        <f t="shared" si="61"/>
        <v>13.380696979400149</v>
      </c>
      <c r="M58" s="79">
        <f t="shared" ref="M58" si="62">M44/(M56*347)</f>
        <v>15.267375120076849</v>
      </c>
      <c r="N58" s="79">
        <f t="shared" ref="N58:O58" si="63">N44/(N56*347)</f>
        <v>12.797329147797448</v>
      </c>
      <c r="O58" s="79">
        <f t="shared" si="63"/>
        <v>12.014458908874094</v>
      </c>
      <c r="P58" s="79">
        <f t="shared" ref="P58" si="64">P44/(P56*347)</f>
        <v>16.316865994236313</v>
      </c>
    </row>
    <row r="59" spans="1:16" x14ac:dyDescent="0.25">
      <c r="A59" s="22" t="s">
        <v>74</v>
      </c>
      <c r="B59" s="22"/>
      <c r="C59" s="79">
        <f t="shared" ref="C59:H59" si="65">C45/(C55*347)</f>
        <v>24139.341769988609</v>
      </c>
      <c r="D59" s="79">
        <f t="shared" si="65"/>
        <v>27.297470381043869</v>
      </c>
      <c r="E59" s="79">
        <f t="shared" si="65"/>
        <v>21.345217939481266</v>
      </c>
      <c r="F59" s="79">
        <f t="shared" si="65"/>
        <v>22.777969468027102</v>
      </c>
      <c r="G59" s="107">
        <f t="shared" si="65"/>
        <v>19.484121740352847</v>
      </c>
      <c r="H59" s="79">
        <f t="shared" si="65"/>
        <v>18.570006404098624</v>
      </c>
      <c r="I59" s="79">
        <f t="shared" ref="I59:J59" si="66">I45/(I55*347)</f>
        <v>18.803662623148583</v>
      </c>
      <c r="J59" s="79">
        <f t="shared" si="66"/>
        <v>21.077985045564297</v>
      </c>
      <c r="K59" s="79">
        <f t="shared" ref="K59:L59" si="67">K45/(K55*347)</f>
        <v>32.768281700288185</v>
      </c>
      <c r="L59" s="79">
        <f t="shared" si="67"/>
        <v>19.873225531006511</v>
      </c>
      <c r="M59" s="79">
        <f t="shared" ref="M59" si="68">M45/(M55*347)</f>
        <v>23.48318554644203</v>
      </c>
      <c r="N59" s="79">
        <f t="shared" ref="N59:O59" si="69">N45/(N55*347)</f>
        <v>23.473599103426196</v>
      </c>
      <c r="O59" s="79">
        <f t="shared" si="69"/>
        <v>20.361764432462582</v>
      </c>
      <c r="P59" s="79">
        <f t="shared" ref="P59" si="70">P45/(P55*347)</f>
        <v>37.871268011527377</v>
      </c>
    </row>
    <row r="60" spans="1:16" x14ac:dyDescent="0.25">
      <c r="A60" s="22" t="s">
        <v>75</v>
      </c>
      <c r="B60" s="22"/>
      <c r="C60" s="79">
        <f t="shared" ref="C60:H60" si="71">C46/(C55*347)</f>
        <v>23629.423832182831</v>
      </c>
      <c r="D60" s="79">
        <f t="shared" si="71"/>
        <v>19.621411036396626</v>
      </c>
      <c r="E60" s="79">
        <f t="shared" si="71"/>
        <v>24.589967579250722</v>
      </c>
      <c r="F60" s="79">
        <f t="shared" si="71"/>
        <v>19.584780746164032</v>
      </c>
      <c r="G60" s="107">
        <f t="shared" si="71"/>
        <v>18.901244113305687</v>
      </c>
      <c r="H60" s="79">
        <f t="shared" si="71"/>
        <v>15.197886647454371</v>
      </c>
      <c r="I60" s="79">
        <f t="shared" ref="I60:J60" si="72">I46/(I55*347)</f>
        <v>18.638228000804236</v>
      </c>
      <c r="J60" s="79">
        <f t="shared" si="72"/>
        <v>17.881143391229848</v>
      </c>
      <c r="K60" s="79">
        <f t="shared" ref="K60:L60" si="73">K46/(K55*347)</f>
        <v>25.946145533141209</v>
      </c>
      <c r="L60" s="79">
        <f t="shared" si="73"/>
        <v>21.326395559824956</v>
      </c>
      <c r="M60" s="79">
        <f t="shared" ref="M60" si="74">M46/(M55*347)</f>
        <v>22.662824207492797</v>
      </c>
      <c r="N60" s="79">
        <f t="shared" ref="N60:O60" si="75">N46/(N55*347)</f>
        <v>16.504109296616502</v>
      </c>
      <c r="O60" s="79">
        <f t="shared" si="75"/>
        <v>22.759505438319234</v>
      </c>
      <c r="P60" s="79">
        <f t="shared" ref="P60" si="76">P46/(P55*347)</f>
        <v>16.350624399615754</v>
      </c>
    </row>
    <row r="61" spans="1:16" x14ac:dyDescent="0.25">
      <c r="A61" s="22" t="s">
        <v>76</v>
      </c>
      <c r="B61" s="22"/>
      <c r="C61" s="79">
        <f t="shared" ref="C61:D61" si="77">SUM(C58:C60)</f>
        <v>60755.245048445628</v>
      </c>
      <c r="D61" s="79">
        <f t="shared" si="77"/>
        <v>57.200690866396911</v>
      </c>
      <c r="E61" s="79">
        <f t="shared" ref="E61:F61" si="78">SUM(E58:E60)</f>
        <v>60.852754095954751</v>
      </c>
      <c r="F61" s="79">
        <f t="shared" si="78"/>
        <v>52.953650236359167</v>
      </c>
      <c r="G61" s="107">
        <f t="shared" ref="G61:H61" si="79">SUM(G58:G60)</f>
        <v>48.756453944631353</v>
      </c>
      <c r="H61" s="79">
        <f t="shared" si="79"/>
        <v>42.253192512773396</v>
      </c>
      <c r="I61" s="79">
        <f t="shared" ref="I61:J61" si="80">SUM(I58:I60)</f>
        <v>46.766838683734335</v>
      </c>
      <c r="J61" s="79">
        <f t="shared" si="80"/>
        <v>48.054417993539033</v>
      </c>
      <c r="K61" s="79">
        <f t="shared" ref="K61:L61" si="81">SUM(K58:K60)</f>
        <v>76.75384069333785</v>
      </c>
      <c r="L61" s="79">
        <f t="shared" si="81"/>
        <v>54.580318070231613</v>
      </c>
      <c r="M61" s="79">
        <f t="shared" ref="M61" si="82">SUM(M58:M60)</f>
        <v>61.413384874011676</v>
      </c>
      <c r="N61" s="79">
        <f t="shared" ref="N61:O61" si="83">SUM(N58:N60)</f>
        <v>52.775037547840142</v>
      </c>
      <c r="O61" s="79">
        <f t="shared" si="83"/>
        <v>55.135728779655906</v>
      </c>
      <c r="P61" s="79">
        <f t="shared" ref="P61" si="84">SUM(P58:P60)</f>
        <v>70.53875840537944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JAN26</vt:lpstr>
      <vt:lpstr>Feb'26</vt:lpstr>
      <vt:lpstr>March</vt:lpstr>
      <vt:lpstr>April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Sanjaya Kumar Padhan</cp:lastModifiedBy>
  <cp:lastPrinted>2026-02-19T21:40:55Z</cp:lastPrinted>
  <dcterms:created xsi:type="dcterms:W3CDTF">2026-01-01T22:48:53Z</dcterms:created>
  <dcterms:modified xsi:type="dcterms:W3CDTF">2026-04-12T22:49:27Z</dcterms:modified>
</cp:coreProperties>
</file>