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19356\Desktop\"/>
    </mc:Choice>
  </mc:AlternateContent>
  <bookViews>
    <workbookView xWindow="0" yWindow="0" windowWidth="28800" windowHeight="12000" activeTab="2"/>
  </bookViews>
  <sheets>
    <sheet name="JAN26" sheetId="1" r:id="rId1"/>
    <sheet name="Feb'26" sheetId="3" r:id="rId2"/>
    <sheet name="March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6" i="3" l="1"/>
  <c r="AG37" i="3"/>
  <c r="AG38" i="3"/>
  <c r="AG40" i="3"/>
  <c r="AG49" i="3"/>
  <c r="AG50" i="3"/>
  <c r="AG51" i="3"/>
  <c r="AG52" i="3"/>
  <c r="AG53" i="3"/>
  <c r="AG9" i="3"/>
  <c r="AG54" i="3" l="1"/>
  <c r="AG39" i="3"/>
  <c r="AF53" i="3"/>
  <c r="AF52" i="3"/>
  <c r="AF51" i="3"/>
  <c r="AF50" i="3"/>
  <c r="AF49" i="3"/>
  <c r="AF40" i="3"/>
  <c r="AF38" i="3"/>
  <c r="AF37" i="3"/>
  <c r="AF36" i="3"/>
  <c r="AF9" i="3"/>
  <c r="AG44" i="3" l="1"/>
  <c r="AG46" i="3"/>
  <c r="AG60" i="3" s="1"/>
  <c r="AF43" i="3"/>
  <c r="AG43" i="3"/>
  <c r="AG42" i="3"/>
  <c r="AG58" i="3"/>
  <c r="AG61" i="3" s="1"/>
  <c r="AF54" i="3"/>
  <c r="AF39" i="3"/>
  <c r="AG45" i="3" s="1"/>
  <c r="AG59" i="3" s="1"/>
  <c r="AE36" i="3"/>
  <c r="AE37" i="3"/>
  <c r="AE38" i="3"/>
  <c r="AE40" i="3"/>
  <c r="AE49" i="3"/>
  <c r="AE50" i="3"/>
  <c r="AE51" i="3"/>
  <c r="AE52" i="3"/>
  <c r="AE53" i="3"/>
  <c r="AE9" i="3"/>
  <c r="AE46" i="3" l="1"/>
  <c r="AE60" i="3" s="1"/>
  <c r="AG47" i="3"/>
  <c r="AF46" i="3"/>
  <c r="AF60" i="3" s="1"/>
  <c r="AF42" i="3"/>
  <c r="AF44" i="3"/>
  <c r="AF58" i="3" s="1"/>
  <c r="AE54" i="3"/>
  <c r="AE39" i="3"/>
  <c r="AD36" i="3"/>
  <c r="AD37" i="3"/>
  <c r="AE42" i="3" s="1"/>
  <c r="AD38" i="3"/>
  <c r="AD39" i="3" s="1"/>
  <c r="AD40" i="3"/>
  <c r="AE43" i="3" s="1"/>
  <c r="AD49" i="3"/>
  <c r="AD50" i="3"/>
  <c r="AD51" i="3"/>
  <c r="AD52" i="3"/>
  <c r="AD53" i="3"/>
  <c r="AD9" i="3"/>
  <c r="AE45" i="3" l="1"/>
  <c r="AE59" i="3" s="1"/>
  <c r="AF45" i="3"/>
  <c r="AD54" i="3"/>
  <c r="AE44" i="3"/>
  <c r="AE58" i="3" s="1"/>
  <c r="AE47" i="3"/>
  <c r="AE61" i="3"/>
  <c r="AD44" i="3"/>
  <c r="AC36" i="3"/>
  <c r="AC37" i="3"/>
  <c r="AC38" i="3"/>
  <c r="AC40" i="3"/>
  <c r="AD43" i="3" s="1"/>
  <c r="AC49" i="3"/>
  <c r="AC50" i="3"/>
  <c r="AC51" i="3"/>
  <c r="AC52" i="3"/>
  <c r="AC53" i="3"/>
  <c r="AC9" i="3"/>
  <c r="AD42" i="3" l="1"/>
  <c r="AC46" i="3"/>
  <c r="AC60" i="3" s="1"/>
  <c r="AD46" i="3"/>
  <c r="AD60" i="3" s="1"/>
  <c r="AF47" i="3"/>
  <c r="AF59" i="3"/>
  <c r="AF61" i="3" s="1"/>
  <c r="AD58" i="3"/>
  <c r="AC54" i="3"/>
  <c r="AC39" i="3"/>
  <c r="AB36" i="3"/>
  <c r="AB37" i="3"/>
  <c r="AC42" i="3" s="1"/>
  <c r="AB38" i="3"/>
  <c r="AB40" i="3"/>
  <c r="AB49" i="3"/>
  <c r="AB50" i="3"/>
  <c r="AB51" i="3"/>
  <c r="AB52" i="3"/>
  <c r="AB53" i="3"/>
  <c r="AB9" i="3"/>
  <c r="AC44" i="3" l="1"/>
  <c r="AC45" i="3"/>
  <c r="AC59" i="3" s="1"/>
  <c r="AD45" i="3"/>
  <c r="AB43" i="3"/>
  <c r="AC43" i="3"/>
  <c r="AC58" i="3"/>
  <c r="AC61" i="3" s="1"/>
  <c r="AB54" i="3"/>
  <c r="AB39" i="3"/>
  <c r="AA36" i="3"/>
  <c r="AA46" i="3" s="1"/>
  <c r="AA60" i="3" s="1"/>
  <c r="AA37" i="3"/>
  <c r="AA42" i="3" s="1"/>
  <c r="AA38" i="3"/>
  <c r="AB44" i="3" s="1"/>
  <c r="AA40" i="3"/>
  <c r="AA49" i="3"/>
  <c r="AA50" i="3"/>
  <c r="AA51" i="3"/>
  <c r="AA52" i="3"/>
  <c r="AA53" i="3"/>
  <c r="AA9" i="3"/>
  <c r="Z36" i="3"/>
  <c r="Z37" i="3"/>
  <c r="Z38" i="3"/>
  <c r="Z40" i="3"/>
  <c r="Z49" i="3"/>
  <c r="Z50" i="3"/>
  <c r="Z51" i="3"/>
  <c r="Z52" i="3"/>
  <c r="Z53" i="3"/>
  <c r="AD59" i="3" l="1"/>
  <c r="AD61" i="3" s="1"/>
  <c r="AD47" i="3"/>
  <c r="AC47" i="3"/>
  <c r="Z54" i="3"/>
  <c r="AB42" i="3"/>
  <c r="AB46" i="3"/>
  <c r="AB60" i="3" s="1"/>
  <c r="AA43" i="3"/>
  <c r="AA44" i="3" s="1"/>
  <c r="AA58" i="3" s="1"/>
  <c r="AB45" i="3"/>
  <c r="AB59" i="3" s="1"/>
  <c r="AB58" i="3"/>
  <c r="AA54" i="3"/>
  <c r="AA39" i="3"/>
  <c r="Z9" i="3"/>
  <c r="Z39" i="3" s="1"/>
  <c r="AA45" i="3" l="1"/>
  <c r="AA59" i="3" s="1"/>
  <c r="AB61" i="3"/>
  <c r="AB47" i="3"/>
  <c r="AA61" i="3"/>
  <c r="AA47" i="3"/>
  <c r="Y49" i="3"/>
  <c r="Y54" i="3" s="1"/>
  <c r="Y50" i="3"/>
  <c r="Y51" i="3"/>
  <c r="Y52" i="3"/>
  <c r="Y53" i="3"/>
  <c r="Y36" i="3"/>
  <c r="Z46" i="3" s="1"/>
  <c r="Z60" i="3" s="1"/>
  <c r="Y37" i="3"/>
  <c r="Z42" i="3" s="1"/>
  <c r="Y38" i="3"/>
  <c r="Y40" i="3"/>
  <c r="Z43" i="3" s="1"/>
  <c r="Y9" i="3"/>
  <c r="Y39" i="3" l="1"/>
  <c r="Z44" i="3"/>
  <c r="Y46" i="3"/>
  <c r="Y60" i="3" s="1"/>
  <c r="X36" i="3"/>
  <c r="X37" i="3"/>
  <c r="X38" i="3"/>
  <c r="X40" i="3"/>
  <c r="X49" i="3"/>
  <c r="X50" i="3"/>
  <c r="X51" i="3"/>
  <c r="X52" i="3"/>
  <c r="X53" i="3"/>
  <c r="X9" i="3"/>
  <c r="X54" i="3" l="1"/>
  <c r="Y43" i="3"/>
  <c r="Y44" i="3" s="1"/>
  <c r="X39" i="3"/>
  <c r="Y42" i="3"/>
  <c r="Z58" i="3"/>
  <c r="X42" i="3"/>
  <c r="Z45" i="3"/>
  <c r="Z59" i="3" s="1"/>
  <c r="W36" i="3"/>
  <c r="W37" i="3"/>
  <c r="W38" i="3"/>
  <c r="W40" i="3"/>
  <c r="X43" i="3" s="1"/>
  <c r="X44" i="3" s="1"/>
  <c r="W49" i="3"/>
  <c r="W50" i="3"/>
  <c r="W51" i="3"/>
  <c r="W52" i="3"/>
  <c r="W53" i="3"/>
  <c r="W9" i="3"/>
  <c r="X58" i="3" l="1"/>
  <c r="Y58" i="3"/>
  <c r="X45" i="3"/>
  <c r="X59" i="3" s="1"/>
  <c r="Y45" i="3"/>
  <c r="Y59" i="3" s="1"/>
  <c r="Z61" i="3"/>
  <c r="Z47" i="3"/>
  <c r="X46" i="3"/>
  <c r="X60" i="3" s="1"/>
  <c r="W54" i="3"/>
  <c r="W39" i="3"/>
  <c r="V49" i="3"/>
  <c r="V54" i="3" s="1"/>
  <c r="V50" i="3"/>
  <c r="V51" i="3"/>
  <c r="V52" i="3"/>
  <c r="V53" i="3"/>
  <c r="V36" i="3"/>
  <c r="V40" i="3"/>
  <c r="W43" i="3" s="1"/>
  <c r="W44" i="3" s="1"/>
  <c r="V38" i="3"/>
  <c r="V37" i="3"/>
  <c r="W42" i="3" s="1"/>
  <c r="V9" i="3"/>
  <c r="W46" i="3" l="1"/>
  <c r="W60" i="3" s="1"/>
  <c r="X47" i="3"/>
  <c r="Y61" i="3"/>
  <c r="Y47" i="3"/>
  <c r="X61" i="3"/>
  <c r="W58" i="3"/>
  <c r="V39" i="3"/>
  <c r="U49" i="3"/>
  <c r="U50" i="3"/>
  <c r="U51" i="3"/>
  <c r="U52" i="3"/>
  <c r="U53" i="3"/>
  <c r="T49" i="3"/>
  <c r="U36" i="3"/>
  <c r="V46" i="3" s="1"/>
  <c r="V60" i="3" s="1"/>
  <c r="U37" i="3"/>
  <c r="V42" i="3" s="1"/>
  <c r="U38" i="3"/>
  <c r="U39" i="3" s="1"/>
  <c r="U40" i="3"/>
  <c r="V43" i="3" s="1"/>
  <c r="U9" i="3"/>
  <c r="V45" i="3" l="1"/>
  <c r="V59" i="3" s="1"/>
  <c r="U42" i="3"/>
  <c r="U54" i="3"/>
  <c r="W45" i="3"/>
  <c r="V44" i="3"/>
  <c r="T40" i="3"/>
  <c r="T36" i="3"/>
  <c r="T37" i="3"/>
  <c r="T38" i="3"/>
  <c r="T50" i="3"/>
  <c r="T51" i="3"/>
  <c r="T52" i="3"/>
  <c r="T53" i="3"/>
  <c r="T9" i="3"/>
  <c r="U44" i="3" l="1"/>
  <c r="W59" i="3"/>
  <c r="W61" i="3" s="1"/>
  <c r="W47" i="3"/>
  <c r="V47" i="3"/>
  <c r="V58" i="3"/>
  <c r="V61" i="3" s="1"/>
  <c r="U43" i="3"/>
  <c r="T46" i="3"/>
  <c r="T60" i="3" s="1"/>
  <c r="U46" i="3"/>
  <c r="U60" i="3" s="1"/>
  <c r="T39" i="3"/>
  <c r="U45" i="3" s="1"/>
  <c r="U59" i="3" s="1"/>
  <c r="T54" i="3"/>
  <c r="S36" i="3"/>
  <c r="S37" i="3"/>
  <c r="T42" i="3" s="1"/>
  <c r="S38" i="3"/>
  <c r="S40" i="3"/>
  <c r="T43" i="3" s="1"/>
  <c r="S9" i="3"/>
  <c r="S49" i="3"/>
  <c r="S50" i="3"/>
  <c r="S51" i="3"/>
  <c r="S52" i="3"/>
  <c r="S53" i="3"/>
  <c r="T44" i="3" l="1"/>
  <c r="T58" i="3" s="1"/>
  <c r="U47" i="3"/>
  <c r="U58" i="3"/>
  <c r="U61" i="3" s="1"/>
  <c r="T45" i="3"/>
  <c r="T47" i="3"/>
  <c r="S43" i="3"/>
  <c r="S39" i="3"/>
  <c r="S54" i="3"/>
  <c r="R53" i="3"/>
  <c r="R52" i="3"/>
  <c r="R51" i="3"/>
  <c r="R50" i="3"/>
  <c r="R49" i="3"/>
  <c r="R40" i="3"/>
  <c r="R38" i="3"/>
  <c r="S44" i="3" s="1"/>
  <c r="S58" i="3" s="1"/>
  <c r="R37" i="3"/>
  <c r="S42" i="3" s="1"/>
  <c r="R36" i="3"/>
  <c r="S46" i="3" s="1"/>
  <c r="S60" i="3" s="1"/>
  <c r="R9" i="3"/>
  <c r="R54" i="3" l="1"/>
  <c r="T59" i="3"/>
  <c r="R39" i="3"/>
  <c r="Q36" i="3"/>
  <c r="R46" i="3" s="1"/>
  <c r="R60" i="3" s="1"/>
  <c r="Q37" i="3"/>
  <c r="Q38" i="3"/>
  <c r="Q40" i="3"/>
  <c r="Q49" i="3"/>
  <c r="Q50" i="3"/>
  <c r="Q51" i="3"/>
  <c r="Q52" i="3"/>
  <c r="Q54" i="3" s="1"/>
  <c r="Q53" i="3"/>
  <c r="Q9" i="3"/>
  <c r="T61" i="3" l="1"/>
  <c r="Q39" i="3"/>
  <c r="S45" i="3"/>
  <c r="R42" i="3"/>
  <c r="Q43" i="3"/>
  <c r="R43" i="3"/>
  <c r="R44" i="3" s="1"/>
  <c r="P36" i="3"/>
  <c r="Q46" i="3" s="1"/>
  <c r="Q60" i="3" s="1"/>
  <c r="P37" i="3"/>
  <c r="P42" i="3" s="1"/>
  <c r="P38" i="3"/>
  <c r="P40" i="3"/>
  <c r="P49" i="3"/>
  <c r="P50" i="3"/>
  <c r="P51" i="3"/>
  <c r="P52" i="3"/>
  <c r="P53" i="3"/>
  <c r="P9" i="3"/>
  <c r="O36" i="3"/>
  <c r="O37" i="3"/>
  <c r="O38" i="3"/>
  <c r="O40" i="3"/>
  <c r="O49" i="3"/>
  <c r="O50" i="3"/>
  <c r="O51" i="3"/>
  <c r="O52" i="3"/>
  <c r="O53" i="3"/>
  <c r="O9" i="3"/>
  <c r="Q44" i="3" l="1"/>
  <c r="Q42" i="3"/>
  <c r="R45" i="3"/>
  <c r="R59" i="3" s="1"/>
  <c r="R58" i="3"/>
  <c r="R61" i="3" s="1"/>
  <c r="R47" i="3"/>
  <c r="O46" i="3"/>
  <c r="O60" i="3" s="1"/>
  <c r="O54" i="3"/>
  <c r="S59" i="3"/>
  <c r="S47" i="3"/>
  <c r="P54" i="3"/>
  <c r="P46" i="3"/>
  <c r="P60" i="3" s="1"/>
  <c r="O39" i="3"/>
  <c r="P43" i="3"/>
  <c r="P44" i="3" s="1"/>
  <c r="P58" i="3" s="1"/>
  <c r="Q58" i="3"/>
  <c r="P39" i="3"/>
  <c r="N36" i="3"/>
  <c r="N37" i="3"/>
  <c r="O42" i="3" s="1"/>
  <c r="N38" i="3"/>
  <c r="N40" i="3"/>
  <c r="O43" i="3" s="1"/>
  <c r="O44" i="3" s="1"/>
  <c r="O58" i="3" s="1"/>
  <c r="N49" i="3"/>
  <c r="N50" i="3"/>
  <c r="N51" i="3"/>
  <c r="N52" i="3"/>
  <c r="N53" i="3"/>
  <c r="N9" i="3"/>
  <c r="S61" i="3" l="1"/>
  <c r="N43" i="3"/>
  <c r="O45" i="3"/>
  <c r="P45" i="3"/>
  <c r="P59" i="3" s="1"/>
  <c r="P61" i="3" s="1"/>
  <c r="Q45" i="3"/>
  <c r="N39" i="3"/>
  <c r="N54" i="3"/>
  <c r="M36" i="3"/>
  <c r="M37" i="3"/>
  <c r="M38" i="3"/>
  <c r="M40" i="3"/>
  <c r="M49" i="3"/>
  <c r="M50" i="3"/>
  <c r="M51" i="3"/>
  <c r="M52" i="3"/>
  <c r="M53" i="3"/>
  <c r="M9" i="3"/>
  <c r="M39" i="3" l="1"/>
  <c r="P47" i="3"/>
  <c r="N44" i="3"/>
  <c r="N58" i="3" s="1"/>
  <c r="O47" i="3"/>
  <c r="O59" i="3"/>
  <c r="O61" i="3" s="1"/>
  <c r="M46" i="3"/>
  <c r="M60" i="3" s="1"/>
  <c r="M54" i="3"/>
  <c r="Q59" i="3"/>
  <c r="Q61" i="3" s="1"/>
  <c r="Q47" i="3"/>
  <c r="N42" i="3"/>
  <c r="N45" i="3" s="1"/>
  <c r="N46" i="3"/>
  <c r="N60" i="3" s="1"/>
  <c r="M42" i="3"/>
  <c r="L36" i="3"/>
  <c r="L37" i="3"/>
  <c r="L38" i="3"/>
  <c r="L40" i="3"/>
  <c r="L49" i="3"/>
  <c r="L54" i="3" s="1"/>
  <c r="L50" i="3"/>
  <c r="L51" i="3"/>
  <c r="L52" i="3"/>
  <c r="L53" i="3"/>
  <c r="L9" i="3"/>
  <c r="L39" i="3" s="1"/>
  <c r="M43" i="3" l="1"/>
  <c r="M44" i="3" s="1"/>
  <c r="M58" i="3" s="1"/>
  <c r="M45" i="3"/>
  <c r="N47" i="3"/>
  <c r="N59" i="3"/>
  <c r="N61" i="3" s="1"/>
  <c r="K36" i="3"/>
  <c r="L46" i="3" s="1"/>
  <c r="L60" i="3" s="1"/>
  <c r="K37" i="3"/>
  <c r="L42" i="3" s="1"/>
  <c r="K38" i="3"/>
  <c r="K40" i="3"/>
  <c r="L43" i="3" s="1"/>
  <c r="K49" i="3"/>
  <c r="K50" i="3"/>
  <c r="K51" i="3"/>
  <c r="K52" i="3"/>
  <c r="K53" i="3"/>
  <c r="K9" i="3"/>
  <c r="L44" i="3" l="1"/>
  <c r="M47" i="3"/>
  <c r="M59" i="3"/>
  <c r="M61" i="3" s="1"/>
  <c r="L47" i="3"/>
  <c r="L58" i="3"/>
  <c r="L61" i="3" s="1"/>
  <c r="K54" i="3"/>
  <c r="K39" i="3"/>
  <c r="L45" i="3" s="1"/>
  <c r="L59" i="3" s="1"/>
  <c r="J36" i="3"/>
  <c r="J37" i="3"/>
  <c r="K42" i="3" s="1"/>
  <c r="J38" i="3"/>
  <c r="J40" i="3"/>
  <c r="J49" i="3"/>
  <c r="J50" i="3"/>
  <c r="J51" i="3"/>
  <c r="J52" i="3"/>
  <c r="J53" i="3"/>
  <c r="J9" i="3"/>
  <c r="K43" i="3" l="1"/>
  <c r="K44" i="3" s="1"/>
  <c r="K58" i="3" s="1"/>
  <c r="K46" i="3"/>
  <c r="K60" i="3" s="1"/>
  <c r="J54" i="3"/>
  <c r="J39" i="3"/>
  <c r="K45" i="3" s="1"/>
  <c r="K59" i="3" s="1"/>
  <c r="I36" i="3"/>
  <c r="I37" i="3"/>
  <c r="I38" i="3"/>
  <c r="I40" i="3"/>
  <c r="I49" i="3"/>
  <c r="I50" i="3"/>
  <c r="I51" i="3"/>
  <c r="I52" i="3"/>
  <c r="I53" i="3"/>
  <c r="I9" i="3"/>
  <c r="J46" i="3" l="1"/>
  <c r="J60" i="3" s="1"/>
  <c r="J42" i="3"/>
  <c r="J43" i="3"/>
  <c r="J44" i="3" s="1"/>
  <c r="J58" i="3" s="1"/>
  <c r="K61" i="3"/>
  <c r="K47" i="3"/>
  <c r="I54" i="3"/>
  <c r="I39" i="3"/>
  <c r="H36" i="3"/>
  <c r="H37" i="3"/>
  <c r="H38" i="3"/>
  <c r="H40" i="3"/>
  <c r="I43" i="3" s="1"/>
  <c r="H49" i="3"/>
  <c r="H50" i="3"/>
  <c r="H51" i="3"/>
  <c r="H52" i="3"/>
  <c r="H53" i="3"/>
  <c r="H9" i="3"/>
  <c r="I44" i="3" l="1"/>
  <c r="I46" i="3"/>
  <c r="I60" i="3" s="1"/>
  <c r="I42" i="3"/>
  <c r="I45" i="3"/>
  <c r="I59" i="3" s="1"/>
  <c r="J45" i="3"/>
  <c r="I58" i="3"/>
  <c r="H54" i="3"/>
  <c r="H39" i="3"/>
  <c r="G53" i="3"/>
  <c r="G52" i="3"/>
  <c r="G51" i="3"/>
  <c r="G50" i="3"/>
  <c r="G49" i="3"/>
  <c r="G40" i="3"/>
  <c r="H43" i="3" s="1"/>
  <c r="G38" i="3"/>
  <c r="H44" i="3" s="1"/>
  <c r="G37" i="3"/>
  <c r="H42" i="3" s="1"/>
  <c r="G36" i="3"/>
  <c r="H46" i="3" s="1"/>
  <c r="H60" i="3" s="1"/>
  <c r="G9" i="3"/>
  <c r="I61" i="3" l="1"/>
  <c r="I47" i="3"/>
  <c r="J59" i="3"/>
  <c r="J61" i="3" s="1"/>
  <c r="J47" i="3"/>
  <c r="H45" i="3"/>
  <c r="H59" i="3" s="1"/>
  <c r="H58" i="3"/>
  <c r="G39" i="3"/>
  <c r="G54" i="3"/>
  <c r="H61" i="3" l="1"/>
  <c r="H47" i="3"/>
  <c r="F36" i="3"/>
  <c r="G46" i="3" s="1"/>
  <c r="G60" i="3" s="1"/>
  <c r="F37" i="3"/>
  <c r="G42" i="3" s="1"/>
  <c r="F38" i="3"/>
  <c r="F40" i="3"/>
  <c r="F49" i="3"/>
  <c r="F50" i="3"/>
  <c r="F51" i="3"/>
  <c r="F52" i="3"/>
  <c r="F53" i="3"/>
  <c r="F9" i="3"/>
  <c r="F39" i="3" l="1"/>
  <c r="F54" i="3"/>
  <c r="G43" i="3"/>
  <c r="G44" i="3" l="1"/>
  <c r="G45" i="3"/>
  <c r="G59" i="3" s="1"/>
  <c r="G58" i="3" l="1"/>
  <c r="G61" i="3" s="1"/>
  <c r="G47" i="3"/>
  <c r="AK45" i="1" l="1"/>
  <c r="AJ45" i="1"/>
  <c r="AK43" i="1"/>
  <c r="AJ43" i="1"/>
  <c r="E53" i="3"/>
  <c r="E52" i="3"/>
  <c r="E51" i="3"/>
  <c r="E50" i="3"/>
  <c r="E49" i="3"/>
  <c r="D40" i="3"/>
  <c r="E40" i="3"/>
  <c r="F43" i="3" s="1"/>
  <c r="D38" i="3"/>
  <c r="D37" i="3"/>
  <c r="D36" i="3"/>
  <c r="D9" i="3"/>
  <c r="E38" i="3"/>
  <c r="E37" i="3"/>
  <c r="F42" i="3" s="1"/>
  <c r="E36" i="3"/>
  <c r="F46" i="3" s="1"/>
  <c r="F60" i="3" s="1"/>
  <c r="E9" i="3"/>
  <c r="AJ38" i="1"/>
  <c r="F44" i="3" l="1"/>
  <c r="F58" i="3" s="1"/>
  <c r="E42" i="3"/>
  <c r="E43" i="3"/>
  <c r="E44" i="3" s="1"/>
  <c r="E39" i="3"/>
  <c r="F45" i="3" s="1"/>
  <c r="E46" i="3"/>
  <c r="E60" i="3" s="1"/>
  <c r="D39" i="3"/>
  <c r="E54" i="3"/>
  <c r="AJ60" i="1"/>
  <c r="AJ49" i="1"/>
  <c r="AJ50" i="1"/>
  <c r="AJ51" i="1"/>
  <c r="AJ52" i="1"/>
  <c r="AJ53" i="1"/>
  <c r="AJ42" i="1"/>
  <c r="AJ46" i="1"/>
  <c r="AJ36" i="1"/>
  <c r="AJ37" i="1"/>
  <c r="AJ9" i="1"/>
  <c r="AJ39" i="1" s="1"/>
  <c r="AI49" i="1"/>
  <c r="AI50" i="1"/>
  <c r="AI51" i="1"/>
  <c r="AI52" i="1"/>
  <c r="AI53" i="1"/>
  <c r="AI42" i="1"/>
  <c r="AI43" i="1"/>
  <c r="AI46" i="1"/>
  <c r="AI60" i="1" s="1"/>
  <c r="AI36" i="1"/>
  <c r="AI37" i="1"/>
  <c r="AI38" i="1"/>
  <c r="AK38" i="1" s="1"/>
  <c r="AI9" i="1"/>
  <c r="AI39" i="1" s="1"/>
  <c r="F59" i="3" l="1"/>
  <c r="F61" i="3" s="1"/>
  <c r="F47" i="3"/>
  <c r="E45" i="3"/>
  <c r="AK39" i="1"/>
  <c r="AI44" i="1"/>
  <c r="AJ44" i="1"/>
  <c r="AI54" i="1"/>
  <c r="AJ41" i="1"/>
  <c r="AJ54" i="1"/>
  <c r="E58" i="3"/>
  <c r="E59" i="3"/>
  <c r="AH36" i="1"/>
  <c r="AH37" i="1"/>
  <c r="AH38" i="1"/>
  <c r="AH42" i="1"/>
  <c r="AH43" i="1"/>
  <c r="AH46" i="1"/>
  <c r="AH60" i="1" s="1"/>
  <c r="AH49" i="1"/>
  <c r="AH54" i="1" s="1"/>
  <c r="AH50" i="1"/>
  <c r="AH51" i="1"/>
  <c r="AH52" i="1"/>
  <c r="AH53" i="1"/>
  <c r="AH9" i="1"/>
  <c r="AH39" i="1" l="1"/>
  <c r="AJ47" i="1"/>
  <c r="AJ58" i="1"/>
  <c r="AJ61" i="1" s="1"/>
  <c r="AI58" i="1"/>
  <c r="AJ59" i="1"/>
  <c r="AI41" i="1"/>
  <c r="AI45" i="1" s="1"/>
  <c r="AH44" i="1"/>
  <c r="AH58" i="1" s="1"/>
  <c r="E61" i="3"/>
  <c r="E47" i="3"/>
  <c r="AG38" i="1"/>
  <c r="AG36" i="1"/>
  <c r="AG37" i="1"/>
  <c r="AH41" i="1" s="1"/>
  <c r="AG42" i="1"/>
  <c r="AG43" i="1"/>
  <c r="AG46" i="1"/>
  <c r="AG60" i="1" s="1"/>
  <c r="AG49" i="1"/>
  <c r="AG50" i="1"/>
  <c r="AG51" i="1"/>
  <c r="AG52" i="1"/>
  <c r="AG53" i="1"/>
  <c r="AG9" i="1"/>
  <c r="AI59" i="1" l="1"/>
  <c r="AI47" i="1"/>
  <c r="AI61" i="1"/>
  <c r="AG54" i="1"/>
  <c r="AG39" i="1"/>
  <c r="AF36" i="1"/>
  <c r="AF37" i="1"/>
  <c r="AF38" i="1"/>
  <c r="AF42" i="1"/>
  <c r="AF43" i="1"/>
  <c r="AF46" i="1"/>
  <c r="AF60" i="1" s="1"/>
  <c r="AF49" i="1"/>
  <c r="AF50" i="1"/>
  <c r="AF51" i="1"/>
  <c r="AF52" i="1"/>
  <c r="AF53" i="1"/>
  <c r="AF9" i="1"/>
  <c r="AE37" i="1"/>
  <c r="AE36" i="1"/>
  <c r="AE38" i="1"/>
  <c r="AE42" i="1"/>
  <c r="AE43" i="1"/>
  <c r="AE46" i="1"/>
  <c r="AE60" i="1" s="1"/>
  <c r="AE49" i="1"/>
  <c r="AE50" i="1"/>
  <c r="AE51" i="1"/>
  <c r="AE52" i="1"/>
  <c r="AE53" i="1"/>
  <c r="AE9" i="1"/>
  <c r="AF44" i="1" l="1"/>
  <c r="AF58" i="1" s="1"/>
  <c r="AF39" i="1"/>
  <c r="AG45" i="1" s="1"/>
  <c r="AH45" i="1"/>
  <c r="AG44" i="1"/>
  <c r="AG58" i="1" s="1"/>
  <c r="AF54" i="1"/>
  <c r="AG41" i="1"/>
  <c r="AE54" i="1"/>
  <c r="AE39" i="1"/>
  <c r="AF41" i="1"/>
  <c r="AD36" i="1"/>
  <c r="AD37" i="1"/>
  <c r="AD38" i="1"/>
  <c r="AE44" i="1" s="1"/>
  <c r="AE58" i="1" s="1"/>
  <c r="AD42" i="1"/>
  <c r="AD43" i="1"/>
  <c r="AD46" i="1"/>
  <c r="AD49" i="1"/>
  <c r="AD50" i="1"/>
  <c r="AD51" i="1"/>
  <c r="AD52" i="1"/>
  <c r="AD53" i="1"/>
  <c r="AD60" i="1"/>
  <c r="AD9" i="1"/>
  <c r="AD54" i="1" l="1"/>
  <c r="AD39" i="1"/>
  <c r="AE41" i="1"/>
  <c r="AE45" i="1" s="1"/>
  <c r="AF45" i="1"/>
  <c r="AH59" i="1"/>
  <c r="AH61" i="1" s="1"/>
  <c r="AH47" i="1"/>
  <c r="AG47" i="1"/>
  <c r="AG59" i="1"/>
  <c r="AG61" i="1" s="1"/>
  <c r="AC36" i="1"/>
  <c r="AC37" i="1"/>
  <c r="AC38" i="1"/>
  <c r="AC42" i="1"/>
  <c r="AC43" i="1"/>
  <c r="AC46" i="1"/>
  <c r="AC49" i="1"/>
  <c r="AC50" i="1"/>
  <c r="AC51" i="1"/>
  <c r="AC52" i="1"/>
  <c r="AC53" i="1"/>
  <c r="AC60" i="1"/>
  <c r="AB36" i="1"/>
  <c r="AC9" i="1"/>
  <c r="AB37" i="1"/>
  <c r="AB38" i="1"/>
  <c r="AB42" i="1"/>
  <c r="AB43" i="1"/>
  <c r="AB46" i="1"/>
  <c r="AB60" i="1" s="1"/>
  <c r="AB49" i="1"/>
  <c r="AB50" i="1"/>
  <c r="AB51" i="1"/>
  <c r="AB52" i="1"/>
  <c r="AB53" i="1"/>
  <c r="AB9" i="1"/>
  <c r="AB39" i="1" s="1"/>
  <c r="AF47" i="1" l="1"/>
  <c r="AF59" i="1"/>
  <c r="AF61" i="1" s="1"/>
  <c r="AB54" i="1"/>
  <c r="AE47" i="1"/>
  <c r="AE59" i="1"/>
  <c r="AE61" i="1" s="1"/>
  <c r="AC44" i="1"/>
  <c r="AC58" i="1" s="1"/>
  <c r="AD44" i="1"/>
  <c r="AD58" i="1" s="1"/>
  <c r="AC39" i="1"/>
  <c r="AC45" i="1" s="1"/>
  <c r="AC59" i="1" s="1"/>
  <c r="AC54" i="1"/>
  <c r="AD41" i="1"/>
  <c r="AC41" i="1"/>
  <c r="AA36" i="1"/>
  <c r="AA37" i="1"/>
  <c r="AB41" i="1" s="1"/>
  <c r="AA38" i="1"/>
  <c r="AB44" i="1" s="1"/>
  <c r="AA42" i="1"/>
  <c r="AA43" i="1"/>
  <c r="AA46" i="1"/>
  <c r="AA60" i="1" s="1"/>
  <c r="AA49" i="1"/>
  <c r="AA50" i="1"/>
  <c r="AA51" i="1"/>
  <c r="AA52" i="1"/>
  <c r="AA53" i="1"/>
  <c r="Z9" i="1"/>
  <c r="AA9" i="1"/>
  <c r="AB58" i="1" l="1"/>
  <c r="AA39" i="1"/>
  <c r="AB45" i="1" s="1"/>
  <c r="AB59" i="1" s="1"/>
  <c r="AD45" i="1"/>
  <c r="AD59" i="1" s="1"/>
  <c r="AD61" i="1" s="1"/>
  <c r="AC61" i="1"/>
  <c r="AC47" i="1"/>
  <c r="AA54" i="1"/>
  <c r="Z36" i="1"/>
  <c r="Z37" i="1"/>
  <c r="Z38" i="1"/>
  <c r="Z42" i="1"/>
  <c r="Z43" i="1"/>
  <c r="Z46" i="1"/>
  <c r="Z60" i="1" s="1"/>
  <c r="Z49" i="1"/>
  <c r="Z50" i="1"/>
  <c r="Z51" i="1"/>
  <c r="Z52" i="1"/>
  <c r="Z53" i="1"/>
  <c r="Y37" i="1"/>
  <c r="Y38" i="1"/>
  <c r="Y42" i="1"/>
  <c r="Y43" i="1"/>
  <c r="Y46" i="1"/>
  <c r="Y60" i="1" s="1"/>
  <c r="Y49" i="1"/>
  <c r="Y50" i="1"/>
  <c r="Y51" i="1"/>
  <c r="Y52" i="1"/>
  <c r="Y53" i="1"/>
  <c r="AB61" i="1" l="1"/>
  <c r="Y54" i="1"/>
  <c r="Z41" i="1"/>
  <c r="AD47" i="1"/>
  <c r="AB47" i="1"/>
  <c r="Z39" i="1"/>
  <c r="AA45" i="1" s="1"/>
  <c r="AA59" i="1" s="1"/>
  <c r="Z44" i="1"/>
  <c r="Z58" i="1" s="1"/>
  <c r="AA44" i="1"/>
  <c r="AA41" i="1"/>
  <c r="Z54" i="1"/>
  <c r="Y36" i="1"/>
  <c r="Y9" i="1"/>
  <c r="Y39" i="1" s="1"/>
  <c r="Z45" i="1" s="1"/>
  <c r="Z59" i="1" l="1"/>
  <c r="Z61" i="1" s="1"/>
  <c r="Z47" i="1"/>
  <c r="AA47" i="1"/>
  <c r="AA58" i="1"/>
  <c r="AA61" i="1" s="1"/>
  <c r="X36" i="1"/>
  <c r="X37" i="1"/>
  <c r="X38" i="1"/>
  <c r="Y44" i="1" s="1"/>
  <c r="Y58" i="1" s="1"/>
  <c r="X42" i="1"/>
  <c r="X43" i="1"/>
  <c r="X46" i="1"/>
  <c r="X60" i="1" s="1"/>
  <c r="X49" i="1"/>
  <c r="X50" i="1"/>
  <c r="X51" i="1"/>
  <c r="X52" i="1"/>
  <c r="X53" i="1"/>
  <c r="X9" i="1"/>
  <c r="X39" i="1" l="1"/>
  <c r="Y41" i="1"/>
  <c r="Y45" i="1" s="1"/>
  <c r="X54" i="1"/>
  <c r="W36" i="1"/>
  <c r="W37" i="1"/>
  <c r="W38" i="1"/>
  <c r="X44" i="1" s="1"/>
  <c r="X58" i="1" s="1"/>
  <c r="W42" i="1"/>
  <c r="W43" i="1"/>
  <c r="W46" i="1"/>
  <c r="W60" i="1" s="1"/>
  <c r="W49" i="1"/>
  <c r="W50" i="1"/>
  <c r="W51" i="1"/>
  <c r="W52" i="1"/>
  <c r="W53" i="1"/>
  <c r="W9" i="1"/>
  <c r="Y59" i="1" l="1"/>
  <c r="Y61" i="1" s="1"/>
  <c r="Y47" i="1"/>
  <c r="X41" i="1"/>
  <c r="W54" i="1"/>
  <c r="W39" i="1"/>
  <c r="V36" i="1"/>
  <c r="V37" i="1"/>
  <c r="V38" i="1"/>
  <c r="W44" i="1" s="1"/>
  <c r="V42" i="1"/>
  <c r="V43" i="1"/>
  <c r="V46" i="1"/>
  <c r="V60" i="1" s="1"/>
  <c r="V49" i="1"/>
  <c r="V50" i="1"/>
  <c r="V51" i="1"/>
  <c r="V52" i="1"/>
  <c r="V53" i="1"/>
  <c r="V9" i="1"/>
  <c r="X45" i="1" l="1"/>
  <c r="X47" i="1"/>
  <c r="X59" i="1"/>
  <c r="X61" i="1" s="1"/>
  <c r="W41" i="1"/>
  <c r="W58" i="1"/>
  <c r="V54" i="1"/>
  <c r="V39" i="1"/>
  <c r="U36" i="1"/>
  <c r="U37" i="1"/>
  <c r="V41" i="1" s="1"/>
  <c r="U38" i="1"/>
  <c r="U42" i="1"/>
  <c r="U43" i="1"/>
  <c r="U46" i="1"/>
  <c r="U60" i="1" s="1"/>
  <c r="U49" i="1"/>
  <c r="U50" i="1"/>
  <c r="U51" i="1"/>
  <c r="U52" i="1"/>
  <c r="U53" i="1"/>
  <c r="U9" i="1"/>
  <c r="W45" i="1" l="1"/>
  <c r="V44" i="1"/>
  <c r="V58" i="1" s="1"/>
  <c r="U54" i="1"/>
  <c r="U39" i="1"/>
  <c r="V45" i="1" s="1"/>
  <c r="T36" i="1"/>
  <c r="T37" i="1"/>
  <c r="T38" i="1"/>
  <c r="T42" i="1"/>
  <c r="T43" i="1"/>
  <c r="T46" i="1"/>
  <c r="T60" i="1" s="1"/>
  <c r="T49" i="1"/>
  <c r="T50" i="1"/>
  <c r="T51" i="1"/>
  <c r="T52" i="1"/>
  <c r="T53" i="1"/>
  <c r="V59" i="1" l="1"/>
  <c r="V61" i="1" s="1"/>
  <c r="V47" i="1"/>
  <c r="T54" i="1"/>
  <c r="U41" i="1"/>
  <c r="U44" i="1"/>
  <c r="U58" i="1" s="1"/>
  <c r="W59" i="1"/>
  <c r="W61" i="1" s="1"/>
  <c r="W47" i="1"/>
  <c r="T9" i="1"/>
  <c r="T39" i="1" s="1"/>
  <c r="U45" i="1" l="1"/>
  <c r="U59" i="1" s="1"/>
  <c r="U61" i="1" s="1"/>
  <c r="U47" i="1"/>
  <c r="S36" i="1"/>
  <c r="S37" i="1"/>
  <c r="T41" i="1" s="1"/>
  <c r="S38" i="1"/>
  <c r="S42" i="1"/>
  <c r="S43" i="1"/>
  <c r="S46" i="1"/>
  <c r="S60" i="1" s="1"/>
  <c r="S49" i="1"/>
  <c r="S50" i="1"/>
  <c r="S51" i="1"/>
  <c r="S52" i="1"/>
  <c r="S53" i="1"/>
  <c r="S9" i="1"/>
  <c r="T44" i="1" l="1"/>
  <c r="S54" i="1"/>
  <c r="S39" i="1"/>
  <c r="R36" i="1"/>
  <c r="R37" i="1"/>
  <c r="R38" i="1"/>
  <c r="S44" i="1" s="1"/>
  <c r="R42" i="1"/>
  <c r="R43" i="1"/>
  <c r="R46" i="1"/>
  <c r="R60" i="1" s="1"/>
  <c r="R49" i="1"/>
  <c r="R50" i="1"/>
  <c r="R51" i="1"/>
  <c r="R52" i="1"/>
  <c r="R53" i="1"/>
  <c r="R9" i="1"/>
  <c r="S58" i="1" l="1"/>
  <c r="T45" i="1"/>
  <c r="T59" i="1" s="1"/>
  <c r="T58" i="1"/>
  <c r="T61" i="1" s="1"/>
  <c r="R39" i="1"/>
  <c r="S41" i="1"/>
  <c r="R54" i="1"/>
  <c r="Q42" i="1"/>
  <c r="Q43" i="1"/>
  <c r="Q46" i="1"/>
  <c r="Q60" i="1" s="1"/>
  <c r="Q49" i="1"/>
  <c r="Q50" i="1"/>
  <c r="Q51" i="1"/>
  <c r="Q52" i="1"/>
  <c r="Q53" i="1"/>
  <c r="Q36" i="1"/>
  <c r="Q37" i="1"/>
  <c r="R41" i="1" s="1"/>
  <c r="Q38" i="1"/>
  <c r="R44" i="1" s="1"/>
  <c r="R58" i="1" s="1"/>
  <c r="Q9" i="1"/>
  <c r="S45" i="1" l="1"/>
  <c r="S59" i="1" s="1"/>
  <c r="S61" i="1" s="1"/>
  <c r="Q54" i="1"/>
  <c r="T47" i="1"/>
  <c r="Q39" i="1"/>
  <c r="S47" i="1"/>
  <c r="P42" i="1"/>
  <c r="P43" i="1"/>
  <c r="P46" i="1"/>
  <c r="P60" i="1" s="1"/>
  <c r="P49" i="1"/>
  <c r="P50" i="1"/>
  <c r="P51" i="1"/>
  <c r="P52" i="1"/>
  <c r="P53" i="1"/>
  <c r="P36" i="1"/>
  <c r="P37" i="1"/>
  <c r="Q41" i="1" s="1"/>
  <c r="P38" i="1"/>
  <c r="P9" i="1"/>
  <c r="P39" i="1" l="1"/>
  <c r="Q45" i="1"/>
  <c r="Q59" i="1" s="1"/>
  <c r="Q44" i="1"/>
  <c r="P54" i="1"/>
  <c r="R45" i="1"/>
  <c r="O49" i="1"/>
  <c r="O50" i="1"/>
  <c r="O51" i="1"/>
  <c r="O52" i="1"/>
  <c r="O53" i="1"/>
  <c r="O42" i="1"/>
  <c r="O43" i="1"/>
  <c r="O46" i="1"/>
  <c r="O60" i="1" s="1"/>
  <c r="O36" i="1"/>
  <c r="O37" i="1"/>
  <c r="O38" i="1"/>
  <c r="O9" i="1"/>
  <c r="O54" i="1" l="1"/>
  <c r="O39" i="1"/>
  <c r="R47" i="1"/>
  <c r="R59" i="1"/>
  <c r="R61" i="1" s="1"/>
  <c r="P41" i="1"/>
  <c r="Q47" i="1"/>
  <c r="Q58" i="1"/>
  <c r="Q61" i="1" s="1"/>
  <c r="P44" i="1"/>
  <c r="N49" i="1"/>
  <c r="N50" i="1"/>
  <c r="N51" i="1"/>
  <c r="N52" i="1"/>
  <c r="N53" i="1"/>
  <c r="N42" i="1"/>
  <c r="N43" i="1"/>
  <c r="N46" i="1"/>
  <c r="N60" i="1" s="1"/>
  <c r="N36" i="1"/>
  <c r="N37" i="1"/>
  <c r="O41" i="1" s="1"/>
  <c r="N38" i="1"/>
  <c r="O44" i="1" s="1"/>
  <c r="N9" i="1"/>
  <c r="N39" i="1" l="1"/>
  <c r="O45" i="1" s="1"/>
  <c r="O59" i="1" s="1"/>
  <c r="P45" i="1"/>
  <c r="P59" i="1" s="1"/>
  <c r="O47" i="1"/>
  <c r="O58" i="1"/>
  <c r="O61" i="1" s="1"/>
  <c r="N54" i="1"/>
  <c r="P47" i="1"/>
  <c r="P58" i="1"/>
  <c r="M36" i="1"/>
  <c r="M37" i="1"/>
  <c r="M38" i="1"/>
  <c r="M42" i="1"/>
  <c r="M43" i="1"/>
  <c r="M46" i="1"/>
  <c r="M60" i="1" s="1"/>
  <c r="M49" i="1"/>
  <c r="M50" i="1"/>
  <c r="M51" i="1"/>
  <c r="M52" i="1"/>
  <c r="M53" i="1"/>
  <c r="M9" i="1"/>
  <c r="P61" i="1" l="1"/>
  <c r="M54" i="1"/>
  <c r="N41" i="1"/>
  <c r="M39" i="1"/>
  <c r="N44" i="1"/>
  <c r="N58" i="1" s="1"/>
  <c r="L49" i="1"/>
  <c r="L50" i="1"/>
  <c r="L51" i="1"/>
  <c r="L52" i="1"/>
  <c r="L53" i="1"/>
  <c r="L36" i="1"/>
  <c r="L37" i="1"/>
  <c r="M41" i="1" s="1"/>
  <c r="L38" i="1"/>
  <c r="L42" i="1"/>
  <c r="L43" i="1"/>
  <c r="L46" i="1"/>
  <c r="L60" i="1" s="1"/>
  <c r="L9" i="1"/>
  <c r="L39" i="1" l="1"/>
  <c r="L54" i="1"/>
  <c r="M44" i="1"/>
  <c r="M45" i="1"/>
  <c r="M59" i="1" s="1"/>
  <c r="N45" i="1"/>
  <c r="K36" i="1"/>
  <c r="K37" i="1"/>
  <c r="K38" i="1"/>
  <c r="L44" i="1" s="1"/>
  <c r="L58" i="1" s="1"/>
  <c r="K42" i="1"/>
  <c r="K43" i="1"/>
  <c r="K46" i="1"/>
  <c r="K60" i="1" s="1"/>
  <c r="K49" i="1"/>
  <c r="K50" i="1"/>
  <c r="K51" i="1"/>
  <c r="K52" i="1"/>
  <c r="K53" i="1"/>
  <c r="K9" i="1"/>
  <c r="K39" i="1" l="1"/>
  <c r="N47" i="1"/>
  <c r="N59" i="1"/>
  <c r="N61" i="1" s="1"/>
  <c r="M47" i="1"/>
  <c r="M58" i="1"/>
  <c r="M61" i="1" s="1"/>
  <c r="K54" i="1"/>
  <c r="L41" i="1"/>
  <c r="L45" i="1" s="1"/>
  <c r="J36" i="1"/>
  <c r="J37" i="1"/>
  <c r="K41" i="1" s="1"/>
  <c r="J38" i="1"/>
  <c r="K44" i="1" s="1"/>
  <c r="K58" i="1" s="1"/>
  <c r="J42" i="1"/>
  <c r="J43" i="1"/>
  <c r="J46" i="1"/>
  <c r="J60" i="1" s="1"/>
  <c r="J49" i="1"/>
  <c r="J50" i="1"/>
  <c r="J51" i="1"/>
  <c r="J52" i="1"/>
  <c r="J53" i="1"/>
  <c r="J9" i="1"/>
  <c r="J54" i="1" l="1"/>
  <c r="J39" i="1"/>
  <c r="L59" i="1"/>
  <c r="L61" i="1" s="1"/>
  <c r="L47" i="1"/>
  <c r="K45" i="1"/>
  <c r="K59" i="1" s="1"/>
  <c r="K61" i="1" s="1"/>
  <c r="I53" i="1"/>
  <c r="I52" i="1"/>
  <c r="I51" i="1"/>
  <c r="I50" i="1"/>
  <c r="I49" i="1"/>
  <c r="I46" i="1"/>
  <c r="I60" i="1" s="1"/>
  <c r="I43" i="1"/>
  <c r="I42" i="1"/>
  <c r="I38" i="1"/>
  <c r="J44" i="1" s="1"/>
  <c r="J58" i="1" s="1"/>
  <c r="I37" i="1"/>
  <c r="J41" i="1" s="1"/>
  <c r="I36" i="1"/>
  <c r="I9" i="1"/>
  <c r="I54" i="1" l="1"/>
  <c r="K47" i="1"/>
  <c r="I39" i="1"/>
  <c r="J45" i="1"/>
  <c r="J59" i="1" s="1"/>
  <c r="J61" i="1"/>
  <c r="J47" i="1"/>
  <c r="H46" i="1"/>
  <c r="H60" i="1" s="1"/>
  <c r="H36" i="1"/>
  <c r="H53" i="1"/>
  <c r="H52" i="1"/>
  <c r="H51" i="1"/>
  <c r="H50" i="1"/>
  <c r="H49" i="1"/>
  <c r="H43" i="1"/>
  <c r="H42" i="1"/>
  <c r="H38" i="1"/>
  <c r="I44" i="1" s="1"/>
  <c r="H37" i="1"/>
  <c r="H9" i="1"/>
  <c r="H39" i="1" l="1"/>
  <c r="I41" i="1"/>
  <c r="H54" i="1"/>
  <c r="I45" i="1"/>
  <c r="I59" i="1" s="1"/>
  <c r="I47" i="1"/>
  <c r="I58" i="1"/>
  <c r="I61" i="1" s="1"/>
  <c r="G53" i="1"/>
  <c r="G52" i="1"/>
  <c r="G51" i="1"/>
  <c r="G50" i="1"/>
  <c r="G49" i="1"/>
  <c r="G46" i="1"/>
  <c r="G60" i="1" s="1"/>
  <c r="G43" i="1"/>
  <c r="G42" i="1"/>
  <c r="G38" i="1"/>
  <c r="H44" i="1" s="1"/>
  <c r="G37" i="1"/>
  <c r="H41" i="1" s="1"/>
  <c r="G36" i="1"/>
  <c r="G9" i="1"/>
  <c r="G54" i="1" l="1"/>
  <c r="H58" i="1"/>
  <c r="G39" i="1"/>
  <c r="F36" i="1"/>
  <c r="F37" i="1"/>
  <c r="G41" i="1" s="1"/>
  <c r="F38" i="1"/>
  <c r="F42" i="1"/>
  <c r="F43" i="1"/>
  <c r="F46" i="1"/>
  <c r="F60" i="1" s="1"/>
  <c r="F49" i="1"/>
  <c r="F50" i="1"/>
  <c r="F51" i="1"/>
  <c r="F52" i="1"/>
  <c r="F53" i="1"/>
  <c r="F9" i="1"/>
  <c r="E53" i="1"/>
  <c r="D53" i="1"/>
  <c r="E52" i="1"/>
  <c r="D52" i="1"/>
  <c r="E51" i="1"/>
  <c r="D51" i="1"/>
  <c r="E50" i="1"/>
  <c r="D50" i="1"/>
  <c r="E49" i="1"/>
  <c r="D49" i="1"/>
  <c r="D54" i="1" s="1"/>
  <c r="E46" i="1"/>
  <c r="E60" i="1" s="1"/>
  <c r="D46" i="1"/>
  <c r="D60" i="1" s="1"/>
  <c r="E43" i="1"/>
  <c r="D43" i="1"/>
  <c r="E42" i="1"/>
  <c r="D42" i="1"/>
  <c r="E38" i="1"/>
  <c r="D38" i="1"/>
  <c r="D44" i="1" s="1"/>
  <c r="E37" i="1"/>
  <c r="D37" i="1"/>
  <c r="D41" i="1" s="1"/>
  <c r="E36" i="1"/>
  <c r="D36" i="1"/>
  <c r="E9" i="1"/>
  <c r="D9" i="1"/>
  <c r="E54" i="1" l="1"/>
  <c r="E41" i="1"/>
  <c r="D39" i="1"/>
  <c r="H45" i="1"/>
  <c r="E39" i="1"/>
  <c r="E44" i="1"/>
  <c r="E58" i="1" s="1"/>
  <c r="F44" i="1"/>
  <c r="F58" i="1" s="1"/>
  <c r="F41" i="1"/>
  <c r="G44" i="1"/>
  <c r="F54" i="1"/>
  <c r="F39" i="1"/>
  <c r="G45" i="1" s="1"/>
  <c r="G59" i="1" s="1"/>
  <c r="D45" i="1"/>
  <c r="D59" i="1" s="1"/>
  <c r="D58" i="1"/>
  <c r="D61" i="1" s="1"/>
  <c r="E45" i="1" l="1"/>
  <c r="E59" i="1" s="1"/>
  <c r="E61" i="1" s="1"/>
  <c r="D47" i="1"/>
  <c r="G58" i="1"/>
  <c r="G61" i="1" s="1"/>
  <c r="G47" i="1"/>
  <c r="H59" i="1"/>
  <c r="H61" i="1" s="1"/>
  <c r="H47" i="1"/>
  <c r="F45" i="1"/>
  <c r="F59" i="1" s="1"/>
  <c r="F61" i="1"/>
  <c r="E47" i="1" l="1"/>
  <c r="F47" i="1"/>
</calcChain>
</file>

<file path=xl/sharedStrings.xml><?xml version="1.0" encoding="utf-8"?>
<sst xmlns="http://schemas.openxmlformats.org/spreadsheetml/2006/main" count="227" uniqueCount="83">
  <si>
    <t>MONTH</t>
  </si>
  <si>
    <t>SR. NO.</t>
  </si>
  <si>
    <t>LOCATION</t>
  </si>
  <si>
    <t>FDR/DATE</t>
  </si>
  <si>
    <t>SS#1</t>
  </si>
  <si>
    <t>TR-1 (31.5 MVA)</t>
  </si>
  <si>
    <t>TR-2 (31.5 MVA)</t>
  </si>
  <si>
    <t>SS#2</t>
  </si>
  <si>
    <t>TR-3 (31.5 MVA)</t>
  </si>
  <si>
    <t>TR-4 (31.5 MVA)</t>
  </si>
  <si>
    <t>TR-5 (31.5 MVA)</t>
  </si>
  <si>
    <t xml:space="preserve">Total </t>
  </si>
  <si>
    <t>LHF#1</t>
  </si>
  <si>
    <t>TR (44 MVA)</t>
  </si>
  <si>
    <t>LHF#2</t>
  </si>
  <si>
    <t>LCSS-9 FDR-1</t>
  </si>
  <si>
    <t>Trafo-1 (2 MVA) (HT 25)</t>
  </si>
  <si>
    <t>LCSS-9 FDR-3</t>
  </si>
  <si>
    <t>Trafo-3 (2 MVA) (HT 40)</t>
  </si>
  <si>
    <t>LCSS-9 FDR-2</t>
  </si>
  <si>
    <t>Trafo-2  (2 MVA)  (HT 64)</t>
  </si>
  <si>
    <t>LCSS-8 FDR-1</t>
  </si>
  <si>
    <t>Trafo-1 (2 MVA) (HT 24)</t>
  </si>
  <si>
    <t>LCSS-8 FDR-3</t>
  </si>
  <si>
    <t>Trafo-3 (2 MVA) (HT 39)</t>
  </si>
  <si>
    <t>LCSS-8 FDR-2</t>
  </si>
  <si>
    <t>Trafo-2  (2 MVA)  (HT 65)</t>
  </si>
  <si>
    <t>CCM-1 EMS-1  (HT 04)</t>
  </si>
  <si>
    <t>CCM-1 EMS-2   (HT 45)</t>
  </si>
  <si>
    <t xml:space="preserve">PRIMARY ID FAN #1 </t>
  </si>
  <si>
    <t>(SS#2 FDR NO. 19)</t>
  </si>
  <si>
    <t xml:space="preserve">PRIMARY ID FAN #2 </t>
  </si>
  <si>
    <t>(SS#2 FDR NO. 30)</t>
  </si>
  <si>
    <t>SECONDARY ID FAN#1</t>
  </si>
  <si>
    <t>(SS#2 FDR NO. 18)</t>
  </si>
  <si>
    <t xml:space="preserve">SECONDARY ID FAN#2 </t>
  </si>
  <si>
    <t>(SS#2 FDR NO. 28)</t>
  </si>
  <si>
    <t xml:space="preserve">SECONDARY ID FAN#3 </t>
  </si>
  <si>
    <t>(SS#2 FDR NO. 29)</t>
  </si>
  <si>
    <t xml:space="preserve">RCPH </t>
  </si>
  <si>
    <t>(SS#2 FDR NO. 27)</t>
  </si>
  <si>
    <t xml:space="preserve">SPARE (TRAFO FEEDER NO 05) </t>
  </si>
  <si>
    <t>CEMENT PLANT( FDR NO. 05)</t>
  </si>
  <si>
    <t>LCP FDR-1</t>
  </si>
  <si>
    <t>(SS#2 FDR NO.33 )</t>
  </si>
  <si>
    <t>LCP FDR-2</t>
  </si>
  <si>
    <t>(SS#1 FDR NO. 1)</t>
  </si>
  <si>
    <t>LCP FDR-3</t>
  </si>
  <si>
    <t>(SS#2 FDR NO.12 )</t>
  </si>
  <si>
    <t>TOTAL LF CONSUMPTION</t>
  </si>
  <si>
    <t>TOTAL LCP CONSUMPTION</t>
  </si>
  <si>
    <t>TOTAL CASTER CONSUMPTION</t>
  </si>
  <si>
    <t>TOTAL BOF CONSUMPTION</t>
  </si>
  <si>
    <t>LCP CONSUMPTION PER DAY</t>
  </si>
  <si>
    <t>CEMENT PLANT CONSUMPTION PER DAY</t>
  </si>
  <si>
    <t>RCPH CONSUMPTION PER DAY</t>
  </si>
  <si>
    <t>A</t>
  </si>
  <si>
    <t>CASTER CONSUMPTION PER DAY</t>
  </si>
  <si>
    <t>B</t>
  </si>
  <si>
    <t>BOF CONSUMPTION PER DAY</t>
  </si>
  <si>
    <t>C</t>
  </si>
  <si>
    <t>LF CONSUMPTION PER DAY</t>
  </si>
  <si>
    <t>D</t>
  </si>
  <si>
    <t>TOTAL ENERGY CONSUMPTION PER DAY</t>
  </si>
  <si>
    <t>CONSUMPTION PRIMARY ID FAN #1</t>
  </si>
  <si>
    <t>CONSUMPTION PRIMARY ID FAN #2</t>
  </si>
  <si>
    <t>CONSUMPTION SECONDARY ID FAN#1</t>
  </si>
  <si>
    <t>CONSUMPTION SECONDARY ID FAN#2</t>
  </si>
  <si>
    <t>CONSUMPTION SECONDARY ID FAN#3</t>
  </si>
  <si>
    <t>E</t>
  </si>
  <si>
    <t>TOTAL ID FAN CONSUMPTION</t>
  </si>
  <si>
    <t>NO. OF HEAT TAP</t>
  </si>
  <si>
    <t>NO. OF HEAT CAST</t>
  </si>
  <si>
    <t>CONSUMPTION PER TON (CASTER)</t>
  </si>
  <si>
    <t>CONSUMPTION PER TON (BOF)</t>
  </si>
  <si>
    <t>CONSUMPTION PER TON (LF)</t>
  </si>
  <si>
    <t>TOTAL CONSUMPTION PER TON</t>
  </si>
  <si>
    <t>RCPH I/C-1</t>
  </si>
  <si>
    <t>RCPH I/C-2</t>
  </si>
  <si>
    <t>(SS#2 FDR NO. 14)</t>
  </si>
  <si>
    <t>Grinder I/C Caster</t>
  </si>
  <si>
    <t>(SS#2 FDR NO. 36)</t>
  </si>
  <si>
    <t>TOTAL RCPH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</si>
</sst>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rgb="FF1F3964"/>
      <name val="Calibri"/>
      <family val="2"/>
    </font>
    <font>
      <sz val="14"/>
      <color rgb="FF385623"/>
      <name val="Calibri"/>
      <family val="2"/>
    </font>
    <font>
      <sz val="14"/>
      <color rgb="FFFF0000"/>
      <name val="Calibri"/>
      <family val="2"/>
    </font>
    <font>
      <sz val="14"/>
      <color rgb="FF002060"/>
      <name val="Calibri"/>
      <family val="2"/>
    </font>
    <font>
      <sz val="14"/>
      <color theme="1"/>
      <name val="Calibri"/>
      <family val="2"/>
    </font>
    <font>
      <b/>
      <sz val="14"/>
      <color theme="1" tint="4.9989318521683403E-2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 tint="4.9989318521683403E-2"/>
      <name val="Arial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793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left" vertical="top" indent="16"/>
    </xf>
    <xf numFmtId="0" fontId="1" fillId="2" borderId="1" xfId="0" applyFont="1" applyFill="1" applyBorder="1" applyAlignment="1">
      <alignment horizontal="center" vertical="top"/>
    </xf>
    <xf numFmtId="17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4" fontId="14" fillId="1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14" fontId="14" fillId="12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14" fillId="12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4" fontId="14" fillId="14" borderId="1" xfId="0" applyNumberFormat="1" applyFont="1" applyFill="1" applyBorder="1" applyAlignment="1">
      <alignment horizontal="center" vertical="center"/>
    </xf>
    <xf numFmtId="0" fontId="0" fillId="13" borderId="1" xfId="0" applyFill="1" applyBorder="1"/>
    <xf numFmtId="0" fontId="0" fillId="13" borderId="1" xfId="0" applyNumberForma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6" fillId="13" borderId="1" xfId="0" applyFont="1" applyFill="1" applyBorder="1" applyAlignment="1">
      <alignment horizontal="center"/>
    </xf>
    <xf numFmtId="1" fontId="0" fillId="13" borderId="1" xfId="0" applyNumberFormat="1" applyFont="1" applyFill="1" applyBorder="1" applyAlignment="1">
      <alignment horizontal="center"/>
    </xf>
    <xf numFmtId="1" fontId="12" fillId="13" borderId="1" xfId="0" applyNumberFormat="1" applyFont="1" applyFill="1" applyBorder="1" applyAlignment="1">
      <alignment horizontal="center"/>
    </xf>
    <xf numFmtId="14" fontId="14" fillId="12" borderId="2" xfId="0" applyNumberFormat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0" fontId="0" fillId="13" borderId="4" xfId="0" applyFill="1" applyBorder="1"/>
    <xf numFmtId="0" fontId="0" fillId="0" borderId="3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top"/>
    </xf>
    <xf numFmtId="1" fontId="12" fillId="11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1"/>
  <sheetViews>
    <sheetView zoomScale="110" zoomScaleNormal="110" workbookViewId="0">
      <pane xSplit="5" topLeftCell="AB1" activePane="topRight" state="frozen"/>
      <selection pane="topRight" activeCell="AK21" sqref="AK21"/>
    </sheetView>
  </sheetViews>
  <sheetFormatPr defaultRowHeight="15" x14ac:dyDescent="0.25"/>
  <cols>
    <col min="1" max="1" width="11" customWidth="1"/>
    <col min="2" max="2" width="48" customWidth="1"/>
    <col min="3" max="3" width="29.5703125" customWidth="1"/>
    <col min="4" max="4" width="10.5703125" bestFit="1" customWidth="1"/>
    <col min="5" max="5" width="11.7109375" bestFit="1" customWidth="1"/>
    <col min="6" max="6" width="11.85546875" customWidth="1"/>
    <col min="7" max="7" width="12" customWidth="1"/>
    <col min="8" max="8" width="13.28515625" customWidth="1"/>
    <col min="9" max="9" width="13.7109375" customWidth="1"/>
    <col min="10" max="11" width="10.85546875" customWidth="1"/>
    <col min="12" max="12" width="11.85546875" customWidth="1"/>
    <col min="13" max="13" width="11.7109375" customWidth="1"/>
    <col min="14" max="14" width="10.42578125" bestFit="1" customWidth="1"/>
    <col min="15" max="15" width="11.28515625" bestFit="1" customWidth="1"/>
    <col min="16" max="16" width="10.7109375" style="42" customWidth="1"/>
    <col min="17" max="17" width="11" customWidth="1"/>
    <col min="18" max="18" width="13.28515625" customWidth="1"/>
    <col min="19" max="19" width="10.42578125" bestFit="1" customWidth="1"/>
    <col min="20" max="20" width="10.85546875" customWidth="1"/>
    <col min="21" max="21" width="14.42578125" bestFit="1" customWidth="1"/>
    <col min="22" max="22" width="14.85546875" bestFit="1" customWidth="1"/>
    <col min="23" max="23" width="12.28515625" bestFit="1" customWidth="1"/>
    <col min="24" max="25" width="11.85546875" customWidth="1"/>
    <col min="26" max="26" width="14" customWidth="1"/>
    <col min="27" max="27" width="12.42578125" customWidth="1"/>
    <col min="28" max="28" width="12" customWidth="1"/>
    <col min="29" max="29" width="12.5703125" customWidth="1"/>
    <col min="30" max="30" width="14.140625" customWidth="1"/>
    <col min="31" max="31" width="13.28515625" customWidth="1"/>
    <col min="32" max="32" width="14" customWidth="1"/>
    <col min="33" max="33" width="11.28515625" customWidth="1"/>
    <col min="34" max="34" width="13.5703125" customWidth="1"/>
    <col min="35" max="35" width="11.7109375" customWidth="1"/>
    <col min="36" max="36" width="10.28515625" bestFit="1" customWidth="1"/>
  </cols>
  <sheetData>
    <row r="1" spans="1:36" ht="23.25" x14ac:dyDescent="0.25">
      <c r="A1" s="1" t="s">
        <v>0</v>
      </c>
      <c r="B1" s="2"/>
      <c r="C1" s="3">
        <v>46023</v>
      </c>
    </row>
    <row r="2" spans="1:36" ht="18.75" x14ac:dyDescent="0.25">
      <c r="A2" s="4" t="s">
        <v>1</v>
      </c>
      <c r="B2" s="4" t="s">
        <v>2</v>
      </c>
      <c r="C2" s="4" t="s">
        <v>3</v>
      </c>
      <c r="D2" s="26">
        <v>46021</v>
      </c>
      <c r="E2" s="26">
        <v>46022</v>
      </c>
      <c r="F2" s="26">
        <v>46023</v>
      </c>
      <c r="G2" s="26">
        <v>46024</v>
      </c>
      <c r="H2" s="26">
        <v>46025</v>
      </c>
      <c r="I2" s="26">
        <v>46026</v>
      </c>
      <c r="J2" s="26">
        <v>46027</v>
      </c>
      <c r="K2" s="26">
        <v>46028</v>
      </c>
      <c r="L2" s="26">
        <v>46029</v>
      </c>
      <c r="M2" s="26">
        <v>46030</v>
      </c>
      <c r="N2" s="26">
        <v>46031</v>
      </c>
      <c r="O2" s="26">
        <v>46032</v>
      </c>
      <c r="P2" s="26">
        <v>46033</v>
      </c>
      <c r="Q2" s="26">
        <v>46034</v>
      </c>
      <c r="R2" s="26">
        <v>46035</v>
      </c>
      <c r="S2" s="26">
        <v>46036</v>
      </c>
      <c r="T2" s="43">
        <v>46037</v>
      </c>
      <c r="U2" s="26">
        <v>46038</v>
      </c>
      <c r="V2" s="26">
        <v>46039</v>
      </c>
      <c r="W2" s="26">
        <v>46040</v>
      </c>
      <c r="X2" s="26">
        <v>46041</v>
      </c>
      <c r="Y2" s="26">
        <v>46042</v>
      </c>
      <c r="Z2" s="26">
        <v>46043</v>
      </c>
      <c r="AA2" s="43">
        <v>46044</v>
      </c>
      <c r="AB2" s="26">
        <v>46045</v>
      </c>
      <c r="AC2" s="26">
        <v>46046</v>
      </c>
      <c r="AD2" s="26">
        <v>46047</v>
      </c>
      <c r="AE2" s="26">
        <v>46048</v>
      </c>
      <c r="AF2" s="26">
        <v>46049</v>
      </c>
      <c r="AG2" s="26">
        <v>46050</v>
      </c>
      <c r="AH2" s="26">
        <v>46051</v>
      </c>
      <c r="AI2" s="26">
        <v>46052</v>
      </c>
      <c r="AJ2" s="26">
        <v>46053</v>
      </c>
    </row>
    <row r="3" spans="1:36" ht="15.75" x14ac:dyDescent="0.25">
      <c r="A3" s="5"/>
      <c r="B3" s="5"/>
      <c r="C3" s="6"/>
      <c r="D3" s="27"/>
      <c r="E3" s="27"/>
      <c r="F3" s="27"/>
      <c r="G3" s="39"/>
      <c r="H3" s="39"/>
      <c r="I3" s="39"/>
      <c r="J3" s="27"/>
      <c r="K3" s="27"/>
      <c r="L3" s="27"/>
      <c r="M3" s="27"/>
      <c r="N3" s="27"/>
      <c r="O3" s="27"/>
      <c r="P3" s="39"/>
      <c r="Q3" s="39"/>
      <c r="R3" s="27"/>
      <c r="S3" s="27"/>
      <c r="U3" s="27"/>
      <c r="V3" s="27"/>
      <c r="W3" s="27"/>
      <c r="Y3" s="27"/>
      <c r="Z3" s="27"/>
      <c r="AB3" s="27"/>
      <c r="AC3" s="27"/>
      <c r="AD3" s="27"/>
      <c r="AE3" s="27"/>
      <c r="AF3" s="27"/>
      <c r="AG3" s="27"/>
      <c r="AH3" s="27"/>
      <c r="AI3" s="27"/>
      <c r="AJ3" s="27"/>
    </row>
    <row r="4" spans="1:36" ht="15.75" x14ac:dyDescent="0.25">
      <c r="A4" s="7">
        <v>1</v>
      </c>
      <c r="B4" s="7" t="s">
        <v>4</v>
      </c>
      <c r="C4" s="7" t="s">
        <v>5</v>
      </c>
      <c r="D4" s="28">
        <v>200551610</v>
      </c>
      <c r="E4" s="28">
        <v>200733685</v>
      </c>
      <c r="F4" s="40">
        <v>200906480</v>
      </c>
      <c r="G4" s="39">
        <v>201086640</v>
      </c>
      <c r="H4" s="39">
        <v>201218470</v>
      </c>
      <c r="I4" s="39">
        <v>201399990</v>
      </c>
      <c r="J4" s="41">
        <v>201598067</v>
      </c>
      <c r="K4" s="41">
        <v>201808105</v>
      </c>
      <c r="L4" s="41">
        <v>202009265</v>
      </c>
      <c r="M4" s="41">
        <v>202198103</v>
      </c>
      <c r="N4" s="41">
        <v>202379673</v>
      </c>
      <c r="O4" s="27">
        <v>202536558</v>
      </c>
      <c r="P4" s="41">
        <v>202701533</v>
      </c>
      <c r="Q4" s="41">
        <v>202847830</v>
      </c>
      <c r="R4" s="41">
        <v>202966996</v>
      </c>
      <c r="S4" s="41">
        <v>202966997</v>
      </c>
      <c r="T4" s="44">
        <v>202966998</v>
      </c>
      <c r="U4" s="8">
        <v>202966998</v>
      </c>
      <c r="V4" s="41">
        <v>202967018</v>
      </c>
      <c r="W4" s="41">
        <v>202967018</v>
      </c>
      <c r="X4" s="44">
        <v>202967018</v>
      </c>
      <c r="Y4" s="41">
        <v>202967018</v>
      </c>
      <c r="Z4" s="41">
        <v>202967018</v>
      </c>
      <c r="AA4" s="44">
        <v>202967019</v>
      </c>
      <c r="AB4" s="41">
        <v>202967019</v>
      </c>
      <c r="AC4" s="41">
        <v>202967019</v>
      </c>
      <c r="AD4" s="41">
        <v>202967019</v>
      </c>
      <c r="AE4" s="41">
        <v>202967019</v>
      </c>
      <c r="AF4" s="41">
        <v>202967019</v>
      </c>
      <c r="AG4" s="41">
        <v>202967019</v>
      </c>
      <c r="AH4" s="41">
        <v>202967019</v>
      </c>
      <c r="AI4" s="41">
        <v>202967019</v>
      </c>
      <c r="AJ4" s="41">
        <v>202967019</v>
      </c>
    </row>
    <row r="5" spans="1:36" ht="15.75" x14ac:dyDescent="0.25">
      <c r="A5" s="7"/>
      <c r="B5" s="7"/>
      <c r="C5" s="7" t="s">
        <v>6</v>
      </c>
      <c r="D5" s="28">
        <v>56562520</v>
      </c>
      <c r="E5" s="28">
        <v>56562520</v>
      </c>
      <c r="F5" s="39">
        <v>56562523</v>
      </c>
      <c r="G5" s="39">
        <v>56562524</v>
      </c>
      <c r="H5" s="39">
        <v>56562524</v>
      </c>
      <c r="I5" s="39">
        <v>56562527</v>
      </c>
      <c r="J5" s="41">
        <v>56562528</v>
      </c>
      <c r="K5" s="41">
        <v>56562529</v>
      </c>
      <c r="L5" s="41">
        <v>56562533</v>
      </c>
      <c r="M5" s="41">
        <v>56562536</v>
      </c>
      <c r="N5" s="41">
        <v>56562537</v>
      </c>
      <c r="O5" s="27">
        <v>56562537</v>
      </c>
      <c r="P5" s="39">
        <v>56562537</v>
      </c>
      <c r="Q5" s="41">
        <v>56562538</v>
      </c>
      <c r="R5" s="41">
        <v>56582717</v>
      </c>
      <c r="S5" s="41">
        <v>56733145</v>
      </c>
      <c r="T5" s="44">
        <v>56895860</v>
      </c>
      <c r="U5" s="8">
        <v>57055649</v>
      </c>
      <c r="V5" s="41">
        <v>57252281</v>
      </c>
      <c r="W5" s="41">
        <v>57452267</v>
      </c>
      <c r="X5" s="44">
        <v>57651907</v>
      </c>
      <c r="Y5" s="41">
        <v>57861480</v>
      </c>
      <c r="Z5" s="41">
        <v>58065345</v>
      </c>
      <c r="AA5" s="44">
        <v>58275099</v>
      </c>
      <c r="AB5" s="41">
        <v>58474730</v>
      </c>
      <c r="AC5" s="41">
        <v>58664630</v>
      </c>
      <c r="AD5" s="41">
        <v>58856380</v>
      </c>
      <c r="AE5" s="41">
        <v>59053017</v>
      </c>
      <c r="AF5" s="41">
        <v>59264167</v>
      </c>
      <c r="AG5" s="41">
        <v>59473267</v>
      </c>
      <c r="AH5" s="41">
        <v>59682598</v>
      </c>
      <c r="AI5" s="41">
        <v>59872155</v>
      </c>
      <c r="AJ5" s="41">
        <v>60075351</v>
      </c>
    </row>
    <row r="6" spans="1:36" ht="15.75" x14ac:dyDescent="0.25">
      <c r="A6" s="7">
        <v>2</v>
      </c>
      <c r="B6" s="7" t="s">
        <v>7</v>
      </c>
      <c r="C6" s="7" t="s">
        <v>8</v>
      </c>
      <c r="D6" s="28">
        <v>69841153</v>
      </c>
      <c r="E6" s="28">
        <v>69950472</v>
      </c>
      <c r="F6" s="40">
        <v>70052885</v>
      </c>
      <c r="G6" s="39">
        <v>70137834</v>
      </c>
      <c r="H6" s="39">
        <v>70229497</v>
      </c>
      <c r="I6" s="39">
        <v>70400382</v>
      </c>
      <c r="J6" s="41">
        <v>70592017</v>
      </c>
      <c r="K6" s="41">
        <v>70776156</v>
      </c>
      <c r="L6" s="41">
        <v>70955961</v>
      </c>
      <c r="M6" s="41">
        <v>71168644</v>
      </c>
      <c r="N6" s="41">
        <v>71377236</v>
      </c>
      <c r="O6" s="27">
        <v>71510124</v>
      </c>
      <c r="P6" s="41">
        <v>71714762</v>
      </c>
      <c r="Q6" s="41">
        <v>71792393</v>
      </c>
      <c r="R6" s="41">
        <v>72050428</v>
      </c>
      <c r="S6" s="41">
        <v>72215750</v>
      </c>
      <c r="T6" s="44">
        <v>72375103</v>
      </c>
      <c r="U6" s="8">
        <v>72543870</v>
      </c>
      <c r="V6" s="41">
        <v>72753355</v>
      </c>
      <c r="W6" s="41">
        <v>72972158</v>
      </c>
      <c r="X6" s="44">
        <v>73185846</v>
      </c>
      <c r="Y6" s="41">
        <v>73396099</v>
      </c>
      <c r="Z6" s="41">
        <v>73614077</v>
      </c>
      <c r="AA6" s="44">
        <v>73855349</v>
      </c>
      <c r="AB6" s="41">
        <v>74093078</v>
      </c>
      <c r="AC6" s="41">
        <v>74308468</v>
      </c>
      <c r="AD6" s="41">
        <v>74525417</v>
      </c>
      <c r="AE6" s="41">
        <v>74746422</v>
      </c>
      <c r="AF6" s="41">
        <v>74973670</v>
      </c>
      <c r="AG6" s="41">
        <v>75207076</v>
      </c>
      <c r="AH6" s="41">
        <v>75428946</v>
      </c>
      <c r="AI6" s="41">
        <v>75654506</v>
      </c>
      <c r="AJ6" s="41">
        <v>75869191</v>
      </c>
    </row>
    <row r="7" spans="1:36" ht="15.75" x14ac:dyDescent="0.25">
      <c r="A7" s="7"/>
      <c r="B7" s="8"/>
      <c r="C7" s="7" t="s">
        <v>9</v>
      </c>
      <c r="D7" s="28">
        <v>193700415</v>
      </c>
      <c r="E7" s="28">
        <v>193971422</v>
      </c>
      <c r="F7" s="39">
        <v>194231705</v>
      </c>
      <c r="G7" s="39">
        <v>194508281</v>
      </c>
      <c r="H7" s="39">
        <v>194694380</v>
      </c>
      <c r="I7" s="39">
        <v>194861230</v>
      </c>
      <c r="J7" s="41">
        <v>195036970</v>
      </c>
      <c r="K7" s="41">
        <v>195227526</v>
      </c>
      <c r="L7" s="41">
        <v>195416165</v>
      </c>
      <c r="M7" s="41">
        <v>195577872</v>
      </c>
      <c r="N7" s="41">
        <v>195750936</v>
      </c>
      <c r="O7" s="27">
        <v>195924075</v>
      </c>
      <c r="P7" s="41">
        <v>196118455</v>
      </c>
      <c r="Q7" s="41">
        <v>196270899</v>
      </c>
      <c r="R7" s="41">
        <v>196392010</v>
      </c>
      <c r="S7" s="41">
        <v>196523749</v>
      </c>
      <c r="T7" s="44">
        <v>196657206</v>
      </c>
      <c r="U7" s="8">
        <v>196804045</v>
      </c>
      <c r="V7" s="41">
        <v>196940195</v>
      </c>
      <c r="W7" s="41">
        <v>197095952</v>
      </c>
      <c r="X7" s="44">
        <v>197258630</v>
      </c>
      <c r="Y7" s="41">
        <v>197433245</v>
      </c>
      <c r="Z7" s="41">
        <v>197601424</v>
      </c>
      <c r="AA7" s="44">
        <v>197765185</v>
      </c>
      <c r="AB7" s="41">
        <v>197927443</v>
      </c>
      <c r="AC7" s="41">
        <v>198092348</v>
      </c>
      <c r="AD7" s="41">
        <v>198246526</v>
      </c>
      <c r="AE7" s="41">
        <v>198415314</v>
      </c>
      <c r="AF7" s="41">
        <v>198575338</v>
      </c>
      <c r="AG7" s="41">
        <v>198727908</v>
      </c>
      <c r="AH7" s="41">
        <v>198886736</v>
      </c>
      <c r="AI7" s="41">
        <v>199051217</v>
      </c>
      <c r="AJ7" s="41">
        <v>199222080</v>
      </c>
    </row>
    <row r="8" spans="1:36" ht="15.75" x14ac:dyDescent="0.25">
      <c r="A8" s="7"/>
      <c r="B8" s="7"/>
      <c r="C8" s="7" t="s">
        <v>10</v>
      </c>
      <c r="D8" s="28">
        <v>163238167</v>
      </c>
      <c r="E8" s="28">
        <v>163238188</v>
      </c>
      <c r="F8" s="39">
        <v>163238222</v>
      </c>
      <c r="G8" s="39">
        <v>163238259</v>
      </c>
      <c r="H8" s="39">
        <v>163238288</v>
      </c>
      <c r="I8" s="39">
        <v>163238318</v>
      </c>
      <c r="J8" s="41">
        <v>163238334</v>
      </c>
      <c r="K8" s="41">
        <v>163238362</v>
      </c>
      <c r="L8" s="41">
        <v>163238395</v>
      </c>
      <c r="M8" s="41">
        <v>163238424</v>
      </c>
      <c r="N8" s="41">
        <v>163238438</v>
      </c>
      <c r="O8" s="27">
        <v>163238441</v>
      </c>
      <c r="P8" s="41">
        <v>163238444</v>
      </c>
      <c r="Q8" s="41">
        <v>163238448</v>
      </c>
      <c r="R8" s="41">
        <v>163238454</v>
      </c>
      <c r="S8" s="41">
        <v>163238455</v>
      </c>
      <c r="T8" s="44">
        <v>163238456</v>
      </c>
      <c r="U8" s="8">
        <v>163238456</v>
      </c>
      <c r="V8" s="41">
        <v>163238457</v>
      </c>
      <c r="W8" s="41">
        <v>163238458</v>
      </c>
      <c r="X8" s="44">
        <v>163238459</v>
      </c>
      <c r="Y8" s="41">
        <v>163238460</v>
      </c>
      <c r="Z8" s="41">
        <v>163238461</v>
      </c>
      <c r="AA8" s="44">
        <v>163238463</v>
      </c>
      <c r="AB8" s="41">
        <v>163238463</v>
      </c>
      <c r="AC8" s="41">
        <v>163238465</v>
      </c>
      <c r="AD8" s="41">
        <v>163238466</v>
      </c>
      <c r="AE8" s="41">
        <v>163238467</v>
      </c>
      <c r="AF8" s="41">
        <v>163238468</v>
      </c>
      <c r="AG8" s="41">
        <v>163238469</v>
      </c>
      <c r="AH8" s="41">
        <v>163238470</v>
      </c>
      <c r="AI8" s="41">
        <v>163238471</v>
      </c>
      <c r="AJ8" s="41">
        <v>163238472</v>
      </c>
    </row>
    <row r="9" spans="1:36" ht="15.75" x14ac:dyDescent="0.25">
      <c r="A9" s="7"/>
      <c r="B9" s="9" t="s">
        <v>11</v>
      </c>
      <c r="C9" s="9"/>
      <c r="D9" s="29">
        <f t="shared" ref="D9:AJ9" si="0">SUM(D4:D8)</f>
        <v>683893865</v>
      </c>
      <c r="E9" s="29">
        <f t="shared" si="0"/>
        <v>684456287</v>
      </c>
      <c r="F9" s="29">
        <f t="shared" si="0"/>
        <v>684991815</v>
      </c>
      <c r="G9" s="29">
        <f t="shared" si="0"/>
        <v>685533538</v>
      </c>
      <c r="H9" s="29">
        <f t="shared" si="0"/>
        <v>685943159</v>
      </c>
      <c r="I9" s="29">
        <f t="shared" si="0"/>
        <v>686462447</v>
      </c>
      <c r="J9" s="29">
        <f t="shared" si="0"/>
        <v>687027916</v>
      </c>
      <c r="K9" s="29">
        <f t="shared" si="0"/>
        <v>687612678</v>
      </c>
      <c r="L9" s="29">
        <f t="shared" si="0"/>
        <v>688182319</v>
      </c>
      <c r="M9" s="29">
        <f t="shared" si="0"/>
        <v>688745579</v>
      </c>
      <c r="N9" s="29">
        <f t="shared" si="0"/>
        <v>689308820</v>
      </c>
      <c r="O9" s="29">
        <f t="shared" si="0"/>
        <v>689771735</v>
      </c>
      <c r="P9" s="29">
        <f t="shared" si="0"/>
        <v>690335731</v>
      </c>
      <c r="Q9" s="29">
        <f t="shared" si="0"/>
        <v>690712108</v>
      </c>
      <c r="R9" s="29">
        <f t="shared" si="0"/>
        <v>691230605</v>
      </c>
      <c r="S9" s="29">
        <f t="shared" si="0"/>
        <v>691678096</v>
      </c>
      <c r="T9" s="45">
        <f t="shared" si="0"/>
        <v>692133623</v>
      </c>
      <c r="U9" s="29">
        <f t="shared" si="0"/>
        <v>692609018</v>
      </c>
      <c r="V9" s="29">
        <f t="shared" si="0"/>
        <v>693151306</v>
      </c>
      <c r="W9" s="29">
        <f t="shared" si="0"/>
        <v>693725853</v>
      </c>
      <c r="X9" s="45">
        <f t="shared" si="0"/>
        <v>694301860</v>
      </c>
      <c r="Y9" s="29">
        <f t="shared" si="0"/>
        <v>694896302</v>
      </c>
      <c r="Z9" s="29">
        <f t="shared" si="0"/>
        <v>695486325</v>
      </c>
      <c r="AA9" s="45">
        <f t="shared" si="0"/>
        <v>696101115</v>
      </c>
      <c r="AB9" s="29">
        <f t="shared" si="0"/>
        <v>696700733</v>
      </c>
      <c r="AC9" s="29">
        <f t="shared" si="0"/>
        <v>697270930</v>
      </c>
      <c r="AD9" s="29">
        <f t="shared" si="0"/>
        <v>697833808</v>
      </c>
      <c r="AE9" s="29">
        <f t="shared" si="0"/>
        <v>698420239</v>
      </c>
      <c r="AF9" s="29">
        <f t="shared" si="0"/>
        <v>699018662</v>
      </c>
      <c r="AG9" s="29">
        <f t="shared" si="0"/>
        <v>699613739</v>
      </c>
      <c r="AH9" s="29">
        <f t="shared" si="0"/>
        <v>700203769</v>
      </c>
      <c r="AI9" s="29">
        <f t="shared" si="0"/>
        <v>700783368</v>
      </c>
      <c r="AJ9" s="29">
        <f t="shared" si="0"/>
        <v>701372113</v>
      </c>
    </row>
    <row r="10" spans="1:36" ht="15.75" x14ac:dyDescent="0.25">
      <c r="A10" s="7"/>
      <c r="B10" s="7"/>
      <c r="C10" s="7"/>
      <c r="D10" s="27"/>
      <c r="E10" s="27"/>
      <c r="F10" s="27"/>
      <c r="G10" s="39"/>
      <c r="H10" s="39"/>
      <c r="I10" s="39"/>
      <c r="J10" s="27"/>
      <c r="K10" s="27"/>
      <c r="L10" s="27"/>
      <c r="M10" s="27"/>
      <c r="N10" s="27"/>
      <c r="O10" s="27"/>
      <c r="P10" s="39"/>
      <c r="Q10" s="39"/>
      <c r="R10" s="27"/>
      <c r="S10" s="27"/>
      <c r="T10" s="46"/>
      <c r="U10" s="8"/>
      <c r="V10" s="27"/>
      <c r="W10" s="27"/>
      <c r="X10" s="46"/>
      <c r="Y10" s="27"/>
      <c r="Z10" s="27"/>
      <c r="AA10" s="46"/>
      <c r="AB10" s="27"/>
      <c r="AC10" s="27"/>
      <c r="AD10" s="27"/>
      <c r="AE10" s="27"/>
      <c r="AF10" s="27"/>
      <c r="AG10" s="27"/>
      <c r="AH10" s="27"/>
      <c r="AI10" s="27"/>
      <c r="AJ10" s="27"/>
    </row>
    <row r="11" spans="1:36" ht="15.75" x14ac:dyDescent="0.25">
      <c r="A11" s="7">
        <v>3</v>
      </c>
      <c r="B11" s="7" t="s">
        <v>12</v>
      </c>
      <c r="C11" s="7" t="s">
        <v>13</v>
      </c>
      <c r="D11" s="28">
        <v>187304414</v>
      </c>
      <c r="E11" s="28">
        <v>187425231</v>
      </c>
      <c r="F11" s="39">
        <v>187506128</v>
      </c>
      <c r="G11" s="39">
        <v>187627559</v>
      </c>
      <c r="H11" s="39">
        <v>187669587</v>
      </c>
      <c r="I11" s="39">
        <v>187746162</v>
      </c>
      <c r="J11" s="41">
        <v>187864687</v>
      </c>
      <c r="K11" s="41">
        <v>187992772</v>
      </c>
      <c r="L11" s="41">
        <v>188071024</v>
      </c>
      <c r="M11" s="41">
        <v>188178195</v>
      </c>
      <c r="N11" s="41">
        <v>188280787</v>
      </c>
      <c r="O11" s="27">
        <v>188398686</v>
      </c>
      <c r="P11" s="41">
        <v>188520636</v>
      </c>
      <c r="Q11" s="41">
        <v>188635435</v>
      </c>
      <c r="R11" s="41">
        <v>188740675</v>
      </c>
      <c r="S11" s="41">
        <v>188813194</v>
      </c>
      <c r="T11" s="47">
        <v>188929889</v>
      </c>
      <c r="U11" s="8">
        <v>189024731</v>
      </c>
      <c r="V11" s="41">
        <v>189135859</v>
      </c>
      <c r="W11" s="41">
        <v>189210567</v>
      </c>
      <c r="X11" s="44">
        <v>189317604</v>
      </c>
      <c r="Y11" s="41">
        <v>189476997</v>
      </c>
      <c r="Z11" s="41">
        <v>189630358</v>
      </c>
      <c r="AA11" s="44">
        <v>189751260</v>
      </c>
      <c r="AB11" s="41">
        <v>189884655</v>
      </c>
      <c r="AC11" s="41">
        <v>189997370</v>
      </c>
      <c r="AD11" s="41">
        <v>190184847</v>
      </c>
      <c r="AE11" s="41">
        <v>190206163</v>
      </c>
      <c r="AF11" s="41">
        <v>190310511</v>
      </c>
      <c r="AG11" s="41">
        <v>190438277</v>
      </c>
      <c r="AH11" s="41">
        <v>190562931</v>
      </c>
      <c r="AI11" s="41">
        <v>190644057</v>
      </c>
      <c r="AJ11" s="41">
        <v>190784723</v>
      </c>
    </row>
    <row r="12" spans="1:36" ht="15.75" x14ac:dyDescent="0.25">
      <c r="A12" s="7">
        <v>4</v>
      </c>
      <c r="B12" s="7" t="s">
        <v>14</v>
      </c>
      <c r="C12" s="7" t="s">
        <v>13</v>
      </c>
      <c r="D12" s="28">
        <v>145144204</v>
      </c>
      <c r="E12" s="28">
        <v>145245767</v>
      </c>
      <c r="F12" s="39">
        <v>145368193</v>
      </c>
      <c r="G12" s="39">
        <v>145424675</v>
      </c>
      <c r="H12" s="39">
        <v>145472137</v>
      </c>
      <c r="I12" s="39">
        <v>145563048</v>
      </c>
      <c r="J12" s="41">
        <v>145673741</v>
      </c>
      <c r="K12" s="41">
        <v>145788261</v>
      </c>
      <c r="L12" s="39">
        <v>145889511</v>
      </c>
      <c r="M12" s="41">
        <v>145995412</v>
      </c>
      <c r="N12" s="41">
        <v>146101789</v>
      </c>
      <c r="O12" s="27">
        <v>146196034</v>
      </c>
      <c r="P12" s="41">
        <v>146326829</v>
      </c>
      <c r="Q12" s="41">
        <v>146419347</v>
      </c>
      <c r="R12" s="41">
        <v>146460912</v>
      </c>
      <c r="S12" s="41">
        <v>146564616</v>
      </c>
      <c r="T12" s="46">
        <v>146680908</v>
      </c>
      <c r="U12" s="8">
        <v>146804467</v>
      </c>
      <c r="V12" s="41">
        <v>146927283</v>
      </c>
      <c r="W12" s="41">
        <v>147037251</v>
      </c>
      <c r="X12" s="44">
        <v>147186967</v>
      </c>
      <c r="Y12" s="41">
        <v>147239649</v>
      </c>
      <c r="Z12" s="41">
        <v>147422544</v>
      </c>
      <c r="AA12" s="44">
        <v>147543935</v>
      </c>
      <c r="AB12" s="41">
        <v>147640042</v>
      </c>
      <c r="AC12" s="41">
        <v>147761472</v>
      </c>
      <c r="AD12" s="41">
        <v>147908323</v>
      </c>
      <c r="AE12" s="41">
        <v>148013658</v>
      </c>
      <c r="AF12" s="41">
        <v>148083822</v>
      </c>
      <c r="AG12" s="41">
        <v>148207248</v>
      </c>
      <c r="AH12" s="41">
        <v>148328802</v>
      </c>
      <c r="AI12" s="41">
        <v>148421488</v>
      </c>
      <c r="AJ12" s="41">
        <v>148547795</v>
      </c>
    </row>
    <row r="13" spans="1:36" ht="15.75" x14ac:dyDescent="0.25">
      <c r="A13" s="7"/>
      <c r="B13" s="7"/>
      <c r="C13" s="7"/>
      <c r="D13" s="27"/>
      <c r="E13" s="27"/>
      <c r="F13" s="39"/>
      <c r="G13" s="39"/>
      <c r="H13" s="39"/>
      <c r="I13" s="39"/>
      <c r="J13" s="27"/>
      <c r="K13" s="27"/>
      <c r="L13" s="27"/>
      <c r="M13" s="27"/>
      <c r="N13" s="27"/>
      <c r="O13" s="27"/>
      <c r="P13" s="39"/>
      <c r="Q13" s="39"/>
      <c r="R13" s="27"/>
      <c r="S13" s="27"/>
      <c r="T13" s="46"/>
      <c r="U13" s="8"/>
      <c r="V13" s="27"/>
      <c r="W13" s="27"/>
      <c r="X13" s="46"/>
      <c r="Y13" s="27"/>
      <c r="Z13" s="27"/>
      <c r="AA13" s="46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1:36" ht="15.75" x14ac:dyDescent="0.25">
      <c r="A14" s="7">
        <v>5</v>
      </c>
      <c r="B14" s="7" t="s">
        <v>15</v>
      </c>
      <c r="C14" s="7" t="s">
        <v>16</v>
      </c>
      <c r="D14" s="28">
        <v>14328537</v>
      </c>
      <c r="E14" s="28">
        <v>14339258</v>
      </c>
      <c r="F14" s="39">
        <v>14348937</v>
      </c>
      <c r="G14" s="39">
        <v>14359922</v>
      </c>
      <c r="H14" s="39">
        <v>14366029</v>
      </c>
      <c r="I14" s="39">
        <v>14372498</v>
      </c>
      <c r="J14" s="41">
        <v>14380188</v>
      </c>
      <c r="K14" s="41">
        <v>14387223</v>
      </c>
      <c r="L14" s="41">
        <v>14393739</v>
      </c>
      <c r="M14" s="41">
        <v>14399864</v>
      </c>
      <c r="N14" s="41">
        <v>14404598</v>
      </c>
      <c r="O14" s="27">
        <v>14408797</v>
      </c>
      <c r="P14" s="41">
        <v>14414124</v>
      </c>
      <c r="Q14" s="41">
        <v>14421232</v>
      </c>
      <c r="R14" s="41">
        <v>14428289</v>
      </c>
      <c r="S14" s="41">
        <v>14436877</v>
      </c>
      <c r="T14" s="44">
        <v>14444909</v>
      </c>
      <c r="U14" s="8">
        <v>14450996</v>
      </c>
      <c r="V14" s="41">
        <v>14459577</v>
      </c>
      <c r="W14" s="41">
        <v>14468527</v>
      </c>
      <c r="X14" s="44">
        <v>14476360</v>
      </c>
      <c r="Y14" s="41">
        <v>14483887</v>
      </c>
      <c r="Z14" s="41">
        <v>14491591</v>
      </c>
      <c r="AA14" s="44">
        <v>14499230</v>
      </c>
      <c r="AB14" s="41">
        <v>14506895</v>
      </c>
      <c r="AC14" s="41">
        <v>14514313</v>
      </c>
      <c r="AD14" s="41">
        <v>14521560</v>
      </c>
      <c r="AE14" s="41">
        <v>14529252</v>
      </c>
      <c r="AF14" s="41">
        <v>14536802</v>
      </c>
      <c r="AG14" s="41">
        <v>14544582</v>
      </c>
      <c r="AH14" s="41">
        <v>14552475</v>
      </c>
      <c r="AI14" s="41">
        <v>14560313</v>
      </c>
      <c r="AJ14" s="41">
        <v>14568118</v>
      </c>
    </row>
    <row r="15" spans="1:36" ht="15.75" x14ac:dyDescent="0.25">
      <c r="A15" s="7">
        <v>6</v>
      </c>
      <c r="B15" s="7" t="s">
        <v>17</v>
      </c>
      <c r="C15" s="7" t="s">
        <v>18</v>
      </c>
      <c r="D15" s="28">
        <v>12724120</v>
      </c>
      <c r="E15" s="28">
        <v>12724207</v>
      </c>
      <c r="F15" s="39">
        <v>12724295</v>
      </c>
      <c r="G15" s="39">
        <v>12724383</v>
      </c>
      <c r="H15" s="39">
        <v>12725991</v>
      </c>
      <c r="I15" s="39">
        <v>12740760</v>
      </c>
      <c r="J15" s="41">
        <v>12753531</v>
      </c>
      <c r="K15" s="41">
        <v>12769215</v>
      </c>
      <c r="L15" s="41">
        <v>12784775</v>
      </c>
      <c r="M15" s="41">
        <v>12799972</v>
      </c>
      <c r="N15" s="41">
        <v>12815658</v>
      </c>
      <c r="O15" s="27">
        <v>12829709</v>
      </c>
      <c r="P15" s="41">
        <v>12845159</v>
      </c>
      <c r="Q15" s="41">
        <v>12860300</v>
      </c>
      <c r="R15" s="41">
        <v>12875072</v>
      </c>
      <c r="S15" s="41">
        <v>12890100</v>
      </c>
      <c r="T15" s="44">
        <v>12904950</v>
      </c>
      <c r="U15" s="8">
        <v>12919277</v>
      </c>
      <c r="V15" s="41">
        <v>12934199</v>
      </c>
      <c r="W15" s="41">
        <v>12949547</v>
      </c>
      <c r="X15" s="44">
        <v>12964250</v>
      </c>
      <c r="Y15" s="39">
        <v>12979424</v>
      </c>
      <c r="Z15" s="41">
        <v>12994980</v>
      </c>
      <c r="AA15" s="44">
        <v>13010126</v>
      </c>
      <c r="AB15" s="41">
        <v>13025257</v>
      </c>
      <c r="AC15" s="41">
        <v>13039838</v>
      </c>
      <c r="AD15" s="41">
        <v>13054323</v>
      </c>
      <c r="AE15" s="41">
        <v>13069270</v>
      </c>
      <c r="AF15" s="41">
        <v>13084325</v>
      </c>
      <c r="AG15" s="41">
        <v>13099006</v>
      </c>
      <c r="AH15" s="41">
        <v>13113706</v>
      </c>
      <c r="AI15" s="41">
        <v>13128464</v>
      </c>
      <c r="AJ15" s="41">
        <v>13143037</v>
      </c>
    </row>
    <row r="16" spans="1:36" ht="15.75" x14ac:dyDescent="0.25">
      <c r="A16" s="7">
        <v>7</v>
      </c>
      <c r="B16" s="7" t="s">
        <v>19</v>
      </c>
      <c r="C16" s="7" t="s">
        <v>20</v>
      </c>
      <c r="D16" s="28">
        <v>4557635</v>
      </c>
      <c r="E16" s="28">
        <v>4569144</v>
      </c>
      <c r="F16" s="39">
        <v>4580288</v>
      </c>
      <c r="G16" s="39">
        <v>4591981</v>
      </c>
      <c r="H16" s="39">
        <v>4598705</v>
      </c>
      <c r="I16" s="39">
        <v>4598815</v>
      </c>
      <c r="J16" s="41">
        <v>4598922</v>
      </c>
      <c r="K16" s="41">
        <v>4599034</v>
      </c>
      <c r="L16" s="41">
        <v>4599144</v>
      </c>
      <c r="M16" s="41">
        <v>4599254</v>
      </c>
      <c r="N16" s="41">
        <v>4599369</v>
      </c>
      <c r="O16" s="27">
        <v>4599442</v>
      </c>
      <c r="P16" s="41">
        <v>4599536</v>
      </c>
      <c r="Q16" s="41">
        <v>4599604</v>
      </c>
      <c r="R16" s="41">
        <v>4599699</v>
      </c>
      <c r="S16" s="41">
        <v>4599819</v>
      </c>
      <c r="T16" s="44">
        <v>4599937</v>
      </c>
      <c r="U16" s="8">
        <v>4600052</v>
      </c>
      <c r="V16" s="41">
        <v>4600166</v>
      </c>
      <c r="W16" s="41">
        <v>4600281</v>
      </c>
      <c r="X16" s="44">
        <v>4600397</v>
      </c>
      <c r="Y16" s="41">
        <v>4600512</v>
      </c>
      <c r="Z16" s="41">
        <v>4600628</v>
      </c>
      <c r="AA16" s="44">
        <v>4600642</v>
      </c>
      <c r="AB16" s="41">
        <v>4600857</v>
      </c>
      <c r="AC16" s="41">
        <v>4600975</v>
      </c>
      <c r="AD16" s="41">
        <v>4601089</v>
      </c>
      <c r="AE16" s="41">
        <v>4601204</v>
      </c>
      <c r="AF16" s="41">
        <v>4601315</v>
      </c>
      <c r="AG16" s="41">
        <v>4601427</v>
      </c>
      <c r="AH16" s="41">
        <v>4601539</v>
      </c>
      <c r="AI16" s="41">
        <v>4601654</v>
      </c>
      <c r="AJ16" s="41">
        <v>4601765</v>
      </c>
    </row>
    <row r="17" spans="1:36" ht="15.75" x14ac:dyDescent="0.25">
      <c r="A17" s="7"/>
      <c r="B17" s="7"/>
      <c r="C17" s="7"/>
      <c r="D17" s="27"/>
      <c r="E17" s="27"/>
      <c r="F17" s="39"/>
      <c r="G17" s="39"/>
      <c r="H17" s="39"/>
      <c r="I17" s="39"/>
      <c r="J17" s="27"/>
      <c r="K17" s="27"/>
      <c r="L17" s="27"/>
      <c r="M17" s="27"/>
      <c r="N17" s="27"/>
      <c r="O17" s="27"/>
      <c r="P17" s="39"/>
      <c r="Q17" s="39"/>
      <c r="R17" s="27"/>
      <c r="S17" s="27"/>
      <c r="T17" s="46"/>
      <c r="U17" s="8"/>
      <c r="V17" s="27"/>
      <c r="W17" s="27"/>
      <c r="X17" s="46"/>
      <c r="Y17" s="27"/>
      <c r="Z17" s="27"/>
      <c r="AA17" s="46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1:36" ht="15.75" x14ac:dyDescent="0.25">
      <c r="A18" s="7">
        <v>8</v>
      </c>
      <c r="B18" s="7" t="s">
        <v>21</v>
      </c>
      <c r="C18" s="7" t="s">
        <v>22</v>
      </c>
      <c r="D18" s="28">
        <v>8609581</v>
      </c>
      <c r="E18" s="28">
        <v>8622183</v>
      </c>
      <c r="F18" s="39">
        <v>8632621</v>
      </c>
      <c r="G18" s="39">
        <v>8645813</v>
      </c>
      <c r="H18" s="39">
        <v>8658820</v>
      </c>
      <c r="I18" s="39">
        <v>8671926</v>
      </c>
      <c r="J18" s="41">
        <v>8685038</v>
      </c>
      <c r="K18" s="41">
        <v>8698379</v>
      </c>
      <c r="L18" s="41">
        <v>8711886</v>
      </c>
      <c r="M18" s="41">
        <v>8725119</v>
      </c>
      <c r="N18" s="41">
        <v>8739185</v>
      </c>
      <c r="O18" s="27">
        <v>8752056</v>
      </c>
      <c r="P18" s="41">
        <v>8765792</v>
      </c>
      <c r="Q18" s="41">
        <v>8776708</v>
      </c>
      <c r="R18" s="41">
        <v>8785284</v>
      </c>
      <c r="S18" s="41">
        <v>8795468</v>
      </c>
      <c r="T18" s="44">
        <v>8806401</v>
      </c>
      <c r="U18" s="8">
        <v>8817442</v>
      </c>
      <c r="V18" s="41">
        <v>8827913</v>
      </c>
      <c r="W18" s="41">
        <v>8838628</v>
      </c>
      <c r="X18" s="44">
        <v>8849454</v>
      </c>
      <c r="Y18" s="41">
        <v>8860272</v>
      </c>
      <c r="Z18" s="41">
        <v>8871006</v>
      </c>
      <c r="AA18" s="44">
        <v>8881765</v>
      </c>
      <c r="AB18" s="41">
        <v>8892450</v>
      </c>
      <c r="AC18" s="41">
        <v>8903367</v>
      </c>
      <c r="AD18" s="41">
        <v>8913783</v>
      </c>
      <c r="AE18" s="41">
        <v>8924332</v>
      </c>
      <c r="AF18" s="41">
        <v>8935050</v>
      </c>
      <c r="AG18" s="41">
        <v>8945939</v>
      </c>
      <c r="AH18" s="41">
        <v>8956562</v>
      </c>
      <c r="AI18" s="41">
        <v>8967097</v>
      </c>
      <c r="AJ18" s="41">
        <v>8977907</v>
      </c>
    </row>
    <row r="19" spans="1:36" ht="15.75" x14ac:dyDescent="0.25">
      <c r="A19" s="7">
        <v>9</v>
      </c>
      <c r="B19" s="7" t="s">
        <v>23</v>
      </c>
      <c r="C19" s="7" t="s">
        <v>24</v>
      </c>
      <c r="D19" s="28">
        <v>14772215</v>
      </c>
      <c r="E19" s="28">
        <v>14781750</v>
      </c>
      <c r="F19" s="39">
        <v>14790389</v>
      </c>
      <c r="G19" s="39">
        <v>14800894</v>
      </c>
      <c r="H19" s="39">
        <v>14810916</v>
      </c>
      <c r="I19" s="39">
        <v>14821416</v>
      </c>
      <c r="J19" s="41">
        <v>14831918</v>
      </c>
      <c r="K19" s="41">
        <v>14842660</v>
      </c>
      <c r="L19" s="41">
        <v>14853560</v>
      </c>
      <c r="M19" s="41">
        <v>14864261</v>
      </c>
      <c r="N19" s="41">
        <v>14875812</v>
      </c>
      <c r="O19" s="27">
        <v>14886335</v>
      </c>
      <c r="P19" s="41">
        <v>14897299</v>
      </c>
      <c r="Q19" s="41">
        <v>14904007</v>
      </c>
      <c r="R19" s="41">
        <v>14912122</v>
      </c>
      <c r="S19" s="41">
        <v>14922367</v>
      </c>
      <c r="T19" s="44">
        <v>14934440</v>
      </c>
      <c r="U19" s="8">
        <v>14947830</v>
      </c>
      <c r="V19" s="41">
        <v>14960768</v>
      </c>
      <c r="W19" s="41">
        <v>14974168</v>
      </c>
      <c r="X19" s="44">
        <v>14987554</v>
      </c>
      <c r="Y19" s="41">
        <v>15001246</v>
      </c>
      <c r="Z19" s="41">
        <v>15014767</v>
      </c>
      <c r="AA19" s="44">
        <v>15028413</v>
      </c>
      <c r="AB19" s="41">
        <v>15041911</v>
      </c>
      <c r="AC19" s="41">
        <v>15055613</v>
      </c>
      <c r="AD19" s="41">
        <v>15068693</v>
      </c>
      <c r="AE19" s="41">
        <v>15081967</v>
      </c>
      <c r="AF19" s="41">
        <v>15095442</v>
      </c>
      <c r="AG19" s="41">
        <v>15109250</v>
      </c>
      <c r="AH19" s="41">
        <v>15122635</v>
      </c>
      <c r="AI19" s="41">
        <v>15136049</v>
      </c>
      <c r="AJ19" s="41">
        <v>15149252</v>
      </c>
    </row>
    <row r="20" spans="1:36" ht="15.75" x14ac:dyDescent="0.25">
      <c r="A20" s="7">
        <v>10</v>
      </c>
      <c r="B20" s="7" t="s">
        <v>25</v>
      </c>
      <c r="C20" s="7" t="s">
        <v>26</v>
      </c>
      <c r="D20" s="28">
        <v>5561471</v>
      </c>
      <c r="E20" s="28">
        <v>5561579</v>
      </c>
      <c r="F20" s="39">
        <v>5561687</v>
      </c>
      <c r="G20" s="39">
        <v>5561687</v>
      </c>
      <c r="H20" s="39">
        <v>5561687</v>
      </c>
      <c r="I20" s="39">
        <v>5561687</v>
      </c>
      <c r="J20" s="41">
        <v>5561768</v>
      </c>
      <c r="K20" s="41">
        <v>5561788</v>
      </c>
      <c r="L20" s="41">
        <v>5561892</v>
      </c>
      <c r="M20" s="41">
        <v>5561971</v>
      </c>
      <c r="N20" s="41">
        <v>5562080</v>
      </c>
      <c r="O20" s="27">
        <v>5562180</v>
      </c>
      <c r="P20" s="41">
        <v>5562289</v>
      </c>
      <c r="Q20" s="41">
        <v>5562392</v>
      </c>
      <c r="R20" s="41">
        <v>5562500</v>
      </c>
      <c r="S20" s="41">
        <v>5562591</v>
      </c>
      <c r="T20" s="44">
        <v>5562625</v>
      </c>
      <c r="U20" s="8">
        <v>5562737</v>
      </c>
      <c r="V20" s="41">
        <v>5562846</v>
      </c>
      <c r="W20" s="41">
        <v>5562958</v>
      </c>
      <c r="X20" s="44">
        <v>5563069</v>
      </c>
      <c r="Y20" s="41">
        <v>5563180</v>
      </c>
      <c r="Z20" s="41">
        <v>5563291</v>
      </c>
      <c r="AA20" s="44">
        <v>5563402</v>
      </c>
      <c r="AB20" s="41">
        <v>5563512</v>
      </c>
      <c r="AC20" s="41">
        <v>5563627</v>
      </c>
      <c r="AD20" s="41">
        <v>5563737</v>
      </c>
      <c r="AE20" s="41">
        <v>5563847</v>
      </c>
      <c r="AF20" s="41">
        <v>5563948</v>
      </c>
      <c r="AG20" s="41">
        <v>5564055</v>
      </c>
      <c r="AH20" s="41">
        <v>5564161</v>
      </c>
      <c r="AI20" s="41">
        <v>5564272</v>
      </c>
      <c r="AJ20" s="41">
        <v>5564378</v>
      </c>
    </row>
    <row r="21" spans="1:36" ht="15.75" x14ac:dyDescent="0.25">
      <c r="A21" s="7">
        <v>11</v>
      </c>
      <c r="B21" s="7"/>
      <c r="C21" s="7" t="s">
        <v>27</v>
      </c>
      <c r="D21" s="28">
        <v>612136</v>
      </c>
      <c r="E21" s="28">
        <v>612170</v>
      </c>
      <c r="F21" s="39">
        <v>612203</v>
      </c>
      <c r="G21" s="39">
        <v>615738</v>
      </c>
      <c r="H21" s="39">
        <v>616736</v>
      </c>
      <c r="I21" s="39">
        <v>618649</v>
      </c>
      <c r="J21" s="41">
        <v>621583</v>
      </c>
      <c r="K21" s="41">
        <v>624500</v>
      </c>
      <c r="L21" s="41">
        <v>627301</v>
      </c>
      <c r="M21" s="41">
        <v>628936</v>
      </c>
      <c r="N21" s="41">
        <v>631460</v>
      </c>
      <c r="O21" s="27">
        <v>634163</v>
      </c>
      <c r="P21" s="41">
        <v>635315</v>
      </c>
      <c r="Q21" s="41">
        <v>635348</v>
      </c>
      <c r="R21" s="41">
        <v>635383</v>
      </c>
      <c r="S21" s="41">
        <v>635419</v>
      </c>
      <c r="T21" s="44">
        <v>636568</v>
      </c>
      <c r="U21" s="8">
        <v>637187</v>
      </c>
      <c r="V21" s="41">
        <v>639916</v>
      </c>
      <c r="W21" s="41">
        <v>641953</v>
      </c>
      <c r="X21" s="44">
        <v>643382</v>
      </c>
      <c r="Y21" s="41">
        <v>648029</v>
      </c>
      <c r="Z21" s="41">
        <v>649998</v>
      </c>
      <c r="AA21" s="44">
        <v>652675</v>
      </c>
      <c r="AB21" s="41">
        <v>656728</v>
      </c>
      <c r="AC21" s="41">
        <v>658838</v>
      </c>
      <c r="AD21" s="41">
        <v>662209</v>
      </c>
      <c r="AE21" s="41">
        <v>664837</v>
      </c>
      <c r="AF21" s="41">
        <v>668396</v>
      </c>
      <c r="AG21" s="41">
        <v>671830</v>
      </c>
      <c r="AH21" s="41">
        <v>675785</v>
      </c>
      <c r="AI21" s="41">
        <v>675820</v>
      </c>
      <c r="AJ21" s="41">
        <v>677184</v>
      </c>
    </row>
    <row r="22" spans="1:36" ht="15.75" x14ac:dyDescent="0.25">
      <c r="A22" s="7">
        <v>12</v>
      </c>
      <c r="B22" s="7"/>
      <c r="C22" s="7" t="s">
        <v>28</v>
      </c>
      <c r="D22" s="28">
        <v>633048</v>
      </c>
      <c r="E22" s="28">
        <v>633085</v>
      </c>
      <c r="F22" s="39">
        <v>633121</v>
      </c>
      <c r="G22" s="39">
        <v>636662</v>
      </c>
      <c r="H22" s="39">
        <v>637670</v>
      </c>
      <c r="I22" s="39">
        <v>639371</v>
      </c>
      <c r="J22" s="41">
        <v>642357</v>
      </c>
      <c r="K22" s="41">
        <v>645243</v>
      </c>
      <c r="L22" s="41">
        <v>648080</v>
      </c>
      <c r="M22" s="41">
        <v>649803</v>
      </c>
      <c r="N22" s="41">
        <v>652391</v>
      </c>
      <c r="O22" s="27">
        <v>655269</v>
      </c>
      <c r="P22" s="41">
        <v>657022</v>
      </c>
      <c r="Q22" s="41">
        <v>660049</v>
      </c>
      <c r="R22" s="41">
        <v>660086</v>
      </c>
      <c r="S22" s="41">
        <v>660125</v>
      </c>
      <c r="T22" s="44">
        <v>661297</v>
      </c>
      <c r="U22" s="8">
        <v>661913</v>
      </c>
      <c r="V22" s="41">
        <v>664858</v>
      </c>
      <c r="W22" s="41">
        <v>666908</v>
      </c>
      <c r="X22" s="44">
        <v>668398</v>
      </c>
      <c r="Y22" s="41">
        <v>673064</v>
      </c>
      <c r="Z22" s="41">
        <v>675035</v>
      </c>
      <c r="AA22" s="44">
        <v>677759</v>
      </c>
      <c r="AB22" s="41">
        <v>681859</v>
      </c>
      <c r="AC22" s="41">
        <v>683974</v>
      </c>
      <c r="AD22" s="41">
        <v>687338</v>
      </c>
      <c r="AE22" s="41">
        <v>689987</v>
      </c>
      <c r="AF22" s="41">
        <v>693644</v>
      </c>
      <c r="AG22" s="41">
        <v>697877</v>
      </c>
      <c r="AH22" s="41">
        <v>701851</v>
      </c>
      <c r="AI22" s="41">
        <v>701890</v>
      </c>
      <c r="AJ22" s="41">
        <v>703292</v>
      </c>
    </row>
    <row r="23" spans="1:36" ht="15.75" x14ac:dyDescent="0.25">
      <c r="A23" s="7"/>
      <c r="B23" s="7"/>
      <c r="C23" s="7"/>
      <c r="D23" s="27"/>
      <c r="E23" s="27"/>
      <c r="F23" s="39"/>
      <c r="G23" s="39"/>
      <c r="H23" s="39"/>
      <c r="I23" s="39"/>
      <c r="J23" s="27"/>
      <c r="K23" s="27"/>
      <c r="L23" s="27"/>
      <c r="M23" s="27"/>
      <c r="N23" s="27"/>
      <c r="O23" s="27"/>
      <c r="P23" s="39"/>
      <c r="Q23" s="39"/>
      <c r="R23" s="27"/>
      <c r="S23" s="27"/>
      <c r="T23" s="46"/>
      <c r="U23" s="8"/>
      <c r="V23" s="27"/>
      <c r="W23" s="27"/>
      <c r="X23" s="46"/>
      <c r="Y23" s="27"/>
      <c r="Z23" s="27"/>
      <c r="AA23" s="46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1:36" ht="15.75" x14ac:dyDescent="0.25">
      <c r="A24" s="7">
        <v>13</v>
      </c>
      <c r="B24" s="7" t="s">
        <v>29</v>
      </c>
      <c r="C24" s="7" t="s">
        <v>30</v>
      </c>
      <c r="D24" s="28">
        <v>18427074</v>
      </c>
      <c r="E24" s="28">
        <v>18443369</v>
      </c>
      <c r="F24" s="39">
        <v>18457471</v>
      </c>
      <c r="G24" s="39">
        <v>18467588</v>
      </c>
      <c r="H24" s="39">
        <v>18470891</v>
      </c>
      <c r="I24" s="39">
        <v>18484426</v>
      </c>
      <c r="J24" s="41">
        <v>18498069</v>
      </c>
      <c r="K24" s="41">
        <v>18514057</v>
      </c>
      <c r="L24" s="41">
        <v>18527909</v>
      </c>
      <c r="M24" s="41">
        <v>18544443</v>
      </c>
      <c r="N24" s="41">
        <v>18559674</v>
      </c>
      <c r="O24" s="27">
        <v>18563687</v>
      </c>
      <c r="P24" s="39">
        <v>18565576</v>
      </c>
      <c r="Q24" s="41">
        <v>18567297</v>
      </c>
      <c r="R24" s="41">
        <v>18569379</v>
      </c>
      <c r="S24" s="41">
        <v>18571833</v>
      </c>
      <c r="T24" s="44">
        <v>18571842</v>
      </c>
      <c r="U24" s="8">
        <v>18574510</v>
      </c>
      <c r="V24" s="41">
        <v>18587916</v>
      </c>
      <c r="W24" s="41">
        <v>18604911</v>
      </c>
      <c r="X24" s="44">
        <v>18621071</v>
      </c>
      <c r="Y24" s="41">
        <v>18636342</v>
      </c>
      <c r="Z24" s="41">
        <v>18651768</v>
      </c>
      <c r="AA24" s="44">
        <v>18668018</v>
      </c>
      <c r="AB24" s="41">
        <v>18685350</v>
      </c>
      <c r="AC24" s="41">
        <v>18703160</v>
      </c>
      <c r="AD24" s="41">
        <v>18720170</v>
      </c>
      <c r="AE24" s="41">
        <v>18736636</v>
      </c>
      <c r="AF24" s="41">
        <v>18753678</v>
      </c>
      <c r="AG24" s="41">
        <v>18771515</v>
      </c>
      <c r="AH24" s="41">
        <v>18788538</v>
      </c>
      <c r="AI24" s="41">
        <v>18805145</v>
      </c>
      <c r="AJ24" s="41">
        <v>18821105</v>
      </c>
    </row>
    <row r="25" spans="1:36" ht="15.75" x14ac:dyDescent="0.25">
      <c r="A25" s="7">
        <v>14</v>
      </c>
      <c r="B25" s="7" t="s">
        <v>31</v>
      </c>
      <c r="C25" s="7" t="s">
        <v>32</v>
      </c>
      <c r="D25" s="28">
        <v>15958843</v>
      </c>
      <c r="E25" s="28">
        <v>15973801</v>
      </c>
      <c r="F25" s="39">
        <v>15986420</v>
      </c>
      <c r="G25" s="39">
        <v>16003048</v>
      </c>
      <c r="H25" s="39">
        <v>16016402</v>
      </c>
      <c r="I25" s="39">
        <v>16027256</v>
      </c>
      <c r="J25" s="41">
        <v>16039174</v>
      </c>
      <c r="K25" s="41">
        <v>16055300</v>
      </c>
      <c r="L25" s="41">
        <v>16070626</v>
      </c>
      <c r="M25" s="41">
        <v>16085987</v>
      </c>
      <c r="N25" s="41">
        <v>16105920</v>
      </c>
      <c r="O25" s="27">
        <v>16122741</v>
      </c>
      <c r="P25" s="41">
        <v>16140678</v>
      </c>
      <c r="Q25" s="41">
        <v>16156452</v>
      </c>
      <c r="R25" s="41">
        <v>16170547</v>
      </c>
      <c r="S25" s="41">
        <v>16186324</v>
      </c>
      <c r="T25" s="44">
        <v>16204209</v>
      </c>
      <c r="U25" s="8">
        <v>16223020</v>
      </c>
      <c r="V25" s="41">
        <v>16239820</v>
      </c>
      <c r="W25" s="41">
        <v>16256604</v>
      </c>
      <c r="X25" s="44">
        <v>16274486</v>
      </c>
      <c r="Y25" s="41">
        <v>16291431</v>
      </c>
      <c r="Z25" s="41">
        <v>16308891</v>
      </c>
      <c r="AA25" s="44">
        <v>16326256</v>
      </c>
      <c r="AB25" s="41">
        <v>16343486</v>
      </c>
      <c r="AC25" s="41">
        <v>16356617</v>
      </c>
      <c r="AD25" s="41">
        <v>16366902</v>
      </c>
      <c r="AE25" s="41">
        <v>16382642</v>
      </c>
      <c r="AF25" s="41">
        <v>16399517</v>
      </c>
      <c r="AG25" s="41">
        <v>16412972</v>
      </c>
      <c r="AH25" s="41">
        <v>16430888</v>
      </c>
      <c r="AI25" s="41">
        <v>16444944</v>
      </c>
      <c r="AJ25" s="41">
        <v>16462109</v>
      </c>
    </row>
    <row r="26" spans="1:36" ht="15.75" x14ac:dyDescent="0.25">
      <c r="A26" s="7"/>
      <c r="B26" s="7" t="s">
        <v>33</v>
      </c>
      <c r="C26" s="7" t="s">
        <v>34</v>
      </c>
      <c r="D26" s="28">
        <v>5985661</v>
      </c>
      <c r="E26" s="28">
        <v>5985661</v>
      </c>
      <c r="F26" s="39">
        <v>5985689</v>
      </c>
      <c r="G26" s="39">
        <v>5985689</v>
      </c>
      <c r="H26" s="39">
        <v>5985689</v>
      </c>
      <c r="I26" s="39">
        <v>5985689</v>
      </c>
      <c r="J26" s="41">
        <v>5985689</v>
      </c>
      <c r="K26" s="41">
        <v>5985689</v>
      </c>
      <c r="L26" s="41">
        <v>5985710</v>
      </c>
      <c r="M26" s="41">
        <v>5987907</v>
      </c>
      <c r="N26" s="41">
        <v>5992120</v>
      </c>
      <c r="O26" s="27">
        <v>5994899</v>
      </c>
      <c r="P26" s="41">
        <v>5997919</v>
      </c>
      <c r="Q26" s="41">
        <v>6001359</v>
      </c>
      <c r="R26" s="41">
        <v>6005535</v>
      </c>
      <c r="S26" s="41">
        <v>6011011</v>
      </c>
      <c r="T26" s="44">
        <v>6015286</v>
      </c>
      <c r="U26" s="8">
        <v>6015630</v>
      </c>
      <c r="V26" s="41">
        <v>6019632</v>
      </c>
      <c r="W26" s="41">
        <v>6023886</v>
      </c>
      <c r="X26" s="44">
        <v>6028192</v>
      </c>
      <c r="Y26" s="41">
        <v>6031654</v>
      </c>
      <c r="Z26" s="41">
        <v>6034949</v>
      </c>
      <c r="AA26" s="44">
        <v>6037970</v>
      </c>
      <c r="AB26" s="41">
        <v>6042760</v>
      </c>
      <c r="AC26" s="41">
        <v>6046790</v>
      </c>
      <c r="AD26" s="41">
        <v>6049762</v>
      </c>
      <c r="AE26" s="41">
        <v>6053159</v>
      </c>
      <c r="AF26" s="41">
        <v>6056806</v>
      </c>
      <c r="AG26" s="41">
        <v>6060538</v>
      </c>
      <c r="AH26" s="41">
        <v>6064121</v>
      </c>
      <c r="AI26" s="41">
        <v>6067921</v>
      </c>
      <c r="AJ26" s="41">
        <v>6071815</v>
      </c>
    </row>
    <row r="27" spans="1:36" ht="15.75" x14ac:dyDescent="0.25">
      <c r="A27" s="7">
        <v>15</v>
      </c>
      <c r="B27" s="7" t="s">
        <v>35</v>
      </c>
      <c r="C27" s="7" t="s">
        <v>36</v>
      </c>
      <c r="D27" s="28">
        <v>89451314</v>
      </c>
      <c r="E27" s="28">
        <v>89511424</v>
      </c>
      <c r="F27" s="39">
        <v>89571608</v>
      </c>
      <c r="G27" s="39">
        <v>89635085</v>
      </c>
      <c r="H27" s="39">
        <v>89673507</v>
      </c>
      <c r="I27" s="39">
        <v>89728435</v>
      </c>
      <c r="J27" s="41">
        <v>89787566</v>
      </c>
      <c r="K27" s="41">
        <v>89848306</v>
      </c>
      <c r="L27" s="41">
        <v>89906460</v>
      </c>
      <c r="M27" s="41">
        <v>89959823</v>
      </c>
      <c r="N27" s="41">
        <v>90014995</v>
      </c>
      <c r="O27" s="27">
        <v>90071410</v>
      </c>
      <c r="P27" s="41">
        <v>90134072</v>
      </c>
      <c r="Q27" s="41">
        <v>90180517</v>
      </c>
      <c r="R27" s="41">
        <v>90207639</v>
      </c>
      <c r="S27" s="41">
        <v>90238371</v>
      </c>
      <c r="T27" s="44">
        <v>90268732</v>
      </c>
      <c r="U27" s="8">
        <v>90311466</v>
      </c>
      <c r="V27" s="41">
        <v>90349662</v>
      </c>
      <c r="W27" s="41">
        <v>90397189</v>
      </c>
      <c r="X27" s="44">
        <v>90445914</v>
      </c>
      <c r="Y27" s="41">
        <v>90498455</v>
      </c>
      <c r="Z27" s="41">
        <v>90552592</v>
      </c>
      <c r="AA27" s="44">
        <v>90607862</v>
      </c>
      <c r="AB27" s="41">
        <v>90660009</v>
      </c>
      <c r="AC27" s="41">
        <v>90719593</v>
      </c>
      <c r="AD27" s="41">
        <v>90771194</v>
      </c>
      <c r="AE27" s="41">
        <v>90829596</v>
      </c>
      <c r="AF27" s="41">
        <v>90881381</v>
      </c>
      <c r="AG27" s="41">
        <v>90929372</v>
      </c>
      <c r="AH27" s="41">
        <v>90978798</v>
      </c>
      <c r="AI27" s="41">
        <v>91031343</v>
      </c>
      <c r="AJ27" s="41">
        <v>91086411</v>
      </c>
    </row>
    <row r="28" spans="1:36" ht="15.75" x14ac:dyDescent="0.25">
      <c r="A28" s="7">
        <v>16</v>
      </c>
      <c r="B28" s="7" t="s">
        <v>37</v>
      </c>
      <c r="C28" s="7" t="s">
        <v>38</v>
      </c>
      <c r="D28" s="28">
        <v>5135936</v>
      </c>
      <c r="E28" s="28">
        <v>5140102</v>
      </c>
      <c r="F28" s="39">
        <v>5144278</v>
      </c>
      <c r="G28" s="39">
        <v>5148597</v>
      </c>
      <c r="H28" s="39">
        <v>5151370</v>
      </c>
      <c r="I28" s="39">
        <v>5155314</v>
      </c>
      <c r="J28" s="41">
        <v>5159428</v>
      </c>
      <c r="K28" s="41">
        <v>5163656</v>
      </c>
      <c r="L28" s="41">
        <v>5168062</v>
      </c>
      <c r="M28" s="41">
        <v>5172145</v>
      </c>
      <c r="N28" s="41">
        <v>5176342</v>
      </c>
      <c r="O28" s="27">
        <v>5180467</v>
      </c>
      <c r="P28" s="41">
        <v>5185076</v>
      </c>
      <c r="Q28" s="41">
        <v>5188480</v>
      </c>
      <c r="R28" s="41">
        <v>5191041</v>
      </c>
      <c r="S28" s="41">
        <v>5193906</v>
      </c>
      <c r="T28" s="44">
        <v>5196791</v>
      </c>
      <c r="U28" s="8">
        <v>5200198</v>
      </c>
      <c r="V28" s="41">
        <v>5203396</v>
      </c>
      <c r="W28" s="41">
        <v>5207253</v>
      </c>
      <c r="X28" s="44">
        <v>5211152</v>
      </c>
      <c r="Y28" s="41">
        <v>5215283</v>
      </c>
      <c r="Z28" s="41">
        <v>5219153</v>
      </c>
      <c r="AA28" s="44">
        <v>5223188</v>
      </c>
      <c r="AB28" s="41">
        <v>5227100</v>
      </c>
      <c r="AC28" s="41">
        <v>5231405</v>
      </c>
      <c r="AD28" s="41">
        <v>5235389</v>
      </c>
      <c r="AE28" s="41">
        <v>5239569</v>
      </c>
      <c r="AF28" s="41">
        <v>5243459</v>
      </c>
      <c r="AG28" s="41">
        <v>5247433</v>
      </c>
      <c r="AH28" s="41">
        <v>5251410</v>
      </c>
      <c r="AI28" s="41">
        <v>5255499</v>
      </c>
      <c r="AJ28" s="41">
        <v>5259664</v>
      </c>
    </row>
    <row r="29" spans="1:36" ht="15.75" x14ac:dyDescent="0.25">
      <c r="A29" s="7">
        <v>17</v>
      </c>
      <c r="B29" s="7" t="s">
        <v>39</v>
      </c>
      <c r="C29" s="7" t="s">
        <v>40</v>
      </c>
      <c r="D29" s="28">
        <v>173528538</v>
      </c>
      <c r="E29" s="28">
        <v>173651677</v>
      </c>
      <c r="F29" s="39">
        <v>173766961</v>
      </c>
      <c r="G29" s="39">
        <v>173889227</v>
      </c>
      <c r="H29" s="39">
        <v>173976390</v>
      </c>
      <c r="I29" s="39">
        <v>174009573</v>
      </c>
      <c r="J29" s="41">
        <v>174041081</v>
      </c>
      <c r="K29" s="41">
        <v>174081166</v>
      </c>
      <c r="L29" s="41">
        <v>174121980</v>
      </c>
      <c r="M29" s="41">
        <v>174146866</v>
      </c>
      <c r="N29" s="41">
        <v>174173430</v>
      </c>
      <c r="O29" s="27">
        <v>174202795</v>
      </c>
      <c r="P29" s="41">
        <v>174237619</v>
      </c>
      <c r="Q29" s="41">
        <v>174270269</v>
      </c>
      <c r="R29" s="41">
        <v>174303425</v>
      </c>
      <c r="S29" s="41">
        <v>174338908</v>
      </c>
      <c r="T29" s="44">
        <v>174377883</v>
      </c>
      <c r="U29" s="8">
        <v>174408321</v>
      </c>
      <c r="V29" s="41">
        <v>174432980</v>
      </c>
      <c r="W29" s="41">
        <v>174458002</v>
      </c>
      <c r="X29" s="44">
        <v>174487547</v>
      </c>
      <c r="Y29" s="41">
        <v>174521569</v>
      </c>
      <c r="Z29" s="41">
        <v>174551708</v>
      </c>
      <c r="AA29" s="44">
        <v>174576738</v>
      </c>
      <c r="AB29" s="41">
        <v>174601916</v>
      </c>
      <c r="AC29" s="41">
        <v>174626580</v>
      </c>
      <c r="AD29" s="41">
        <v>174649348</v>
      </c>
      <c r="AE29" s="41">
        <v>174674046</v>
      </c>
      <c r="AF29" s="41">
        <v>174699375</v>
      </c>
      <c r="AG29" s="41">
        <v>174725083</v>
      </c>
      <c r="AH29" s="41">
        <v>174750030</v>
      </c>
      <c r="AI29" s="41">
        <v>174775348</v>
      </c>
      <c r="AJ29" s="41">
        <v>174798812</v>
      </c>
    </row>
    <row r="30" spans="1:36" ht="15.75" x14ac:dyDescent="0.25">
      <c r="A30" s="7">
        <v>18</v>
      </c>
      <c r="B30" s="7" t="s">
        <v>41</v>
      </c>
      <c r="C30" s="7" t="s">
        <v>42</v>
      </c>
      <c r="D30" s="28">
        <v>544233</v>
      </c>
      <c r="E30" s="28">
        <v>544233</v>
      </c>
      <c r="F30" s="39">
        <v>544233</v>
      </c>
      <c r="G30" s="39">
        <v>544233</v>
      </c>
      <c r="H30" s="39">
        <v>544233</v>
      </c>
      <c r="I30" s="39">
        <v>544233</v>
      </c>
      <c r="J30" s="39">
        <v>544233</v>
      </c>
      <c r="K30" s="39">
        <v>544233</v>
      </c>
      <c r="L30" s="39">
        <v>544233</v>
      </c>
      <c r="M30" s="41">
        <v>544233</v>
      </c>
      <c r="N30" s="41">
        <v>544233</v>
      </c>
      <c r="O30" s="27">
        <v>544233</v>
      </c>
      <c r="P30" s="39">
        <v>544233</v>
      </c>
      <c r="Q30" s="41">
        <v>544233</v>
      </c>
      <c r="R30" s="41">
        <v>544233</v>
      </c>
      <c r="S30" s="41">
        <v>544233</v>
      </c>
      <c r="T30" s="44">
        <v>544233</v>
      </c>
      <c r="U30" s="8">
        <v>544233</v>
      </c>
      <c r="V30" s="41">
        <v>544233</v>
      </c>
      <c r="W30" s="41">
        <v>544233</v>
      </c>
      <c r="X30" s="44">
        <v>544233</v>
      </c>
      <c r="Y30" s="41">
        <v>544233</v>
      </c>
      <c r="Z30" s="41">
        <v>544233</v>
      </c>
      <c r="AA30" s="44">
        <v>544233</v>
      </c>
      <c r="AB30" s="41">
        <v>544233</v>
      </c>
      <c r="AC30" s="41">
        <v>544233</v>
      </c>
      <c r="AD30" s="41">
        <v>544233</v>
      </c>
      <c r="AE30" s="41">
        <v>544233</v>
      </c>
      <c r="AF30" s="41">
        <v>544233</v>
      </c>
      <c r="AG30" s="41">
        <v>544233</v>
      </c>
      <c r="AH30" s="41">
        <v>544233</v>
      </c>
      <c r="AI30" s="41">
        <v>544233</v>
      </c>
      <c r="AJ30" s="41">
        <v>544233</v>
      </c>
    </row>
    <row r="31" spans="1:36" ht="15.75" x14ac:dyDescent="0.25">
      <c r="A31" s="7"/>
      <c r="B31" s="7"/>
      <c r="C31" s="7"/>
      <c r="D31" s="27"/>
      <c r="E31" s="27"/>
      <c r="F31" s="39"/>
      <c r="G31" s="39"/>
      <c r="H31" s="39"/>
      <c r="I31" s="39"/>
      <c r="J31" s="27"/>
      <c r="K31" s="27"/>
      <c r="L31" s="27"/>
      <c r="M31" s="27"/>
      <c r="N31" s="27"/>
      <c r="O31" s="27"/>
      <c r="P31" s="39"/>
      <c r="Q31" s="39"/>
      <c r="R31" s="27"/>
      <c r="S31" s="27"/>
      <c r="T31" s="46"/>
      <c r="U31" s="8"/>
      <c r="V31" s="27"/>
      <c r="W31" s="27"/>
      <c r="X31" s="46"/>
      <c r="Y31" s="27"/>
      <c r="Z31" s="27"/>
      <c r="AA31" s="46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1:36" ht="15.75" x14ac:dyDescent="0.25">
      <c r="A32" s="7">
        <v>19</v>
      </c>
      <c r="B32" s="7" t="s">
        <v>43</v>
      </c>
      <c r="C32" s="7" t="s">
        <v>44</v>
      </c>
      <c r="D32" s="28">
        <v>75820488</v>
      </c>
      <c r="E32" s="28">
        <v>75820489</v>
      </c>
      <c r="F32" s="39">
        <v>75820490</v>
      </c>
      <c r="G32" s="39">
        <v>75820491</v>
      </c>
      <c r="H32" s="39">
        <v>75820492</v>
      </c>
      <c r="I32" s="39">
        <v>75820493</v>
      </c>
      <c r="J32" s="41">
        <v>75820494</v>
      </c>
      <c r="K32" s="41">
        <v>75820495</v>
      </c>
      <c r="L32" s="41">
        <v>75820496</v>
      </c>
      <c r="M32" s="41">
        <v>75820497</v>
      </c>
      <c r="N32" s="41">
        <v>75820498</v>
      </c>
      <c r="O32" s="27">
        <v>75820499</v>
      </c>
      <c r="P32" s="41">
        <v>75820500</v>
      </c>
      <c r="Q32" s="41">
        <v>75820501</v>
      </c>
      <c r="R32" s="41">
        <v>75820503</v>
      </c>
      <c r="S32" s="41">
        <v>75820504</v>
      </c>
      <c r="T32" s="44">
        <v>75820505</v>
      </c>
      <c r="U32" s="8">
        <v>75820506</v>
      </c>
      <c r="V32" s="41">
        <v>75820507</v>
      </c>
      <c r="W32" s="41">
        <v>75820508</v>
      </c>
      <c r="X32" s="44">
        <v>75820510</v>
      </c>
      <c r="Y32" s="41">
        <v>75820511</v>
      </c>
      <c r="Z32" s="41">
        <v>75820512</v>
      </c>
      <c r="AA32" s="44">
        <v>75820513</v>
      </c>
      <c r="AB32" s="41">
        <v>75820514</v>
      </c>
      <c r="AC32" s="41">
        <v>75820515</v>
      </c>
      <c r="AD32" s="41">
        <v>75820516</v>
      </c>
      <c r="AE32" s="41">
        <v>75820517</v>
      </c>
      <c r="AF32" s="41">
        <v>75820519</v>
      </c>
      <c r="AG32" s="41">
        <v>75820520</v>
      </c>
      <c r="AH32" s="41">
        <v>75820521</v>
      </c>
      <c r="AI32" s="41">
        <v>75820522</v>
      </c>
      <c r="AJ32" s="41">
        <v>75820524</v>
      </c>
    </row>
    <row r="33" spans="1:37" ht="15.75" x14ac:dyDescent="0.25">
      <c r="A33" s="7">
        <v>20</v>
      </c>
      <c r="B33" s="7" t="s">
        <v>45</v>
      </c>
      <c r="C33" s="7" t="s">
        <v>46</v>
      </c>
      <c r="D33" s="28">
        <v>582304</v>
      </c>
      <c r="E33" s="28">
        <v>582304</v>
      </c>
      <c r="F33" s="39">
        <v>582304</v>
      </c>
      <c r="G33" s="39">
        <v>582304</v>
      </c>
      <c r="H33" s="39">
        <v>582304</v>
      </c>
      <c r="I33" s="39">
        <v>582304</v>
      </c>
      <c r="J33" s="39">
        <v>582304</v>
      </c>
      <c r="K33" s="39">
        <v>582304</v>
      </c>
      <c r="L33" s="39">
        <v>582304</v>
      </c>
      <c r="M33" s="39">
        <v>582304</v>
      </c>
      <c r="N33" s="41">
        <v>582304</v>
      </c>
      <c r="O33" s="27">
        <v>582304</v>
      </c>
      <c r="P33" s="39">
        <v>582304</v>
      </c>
      <c r="Q33" s="41">
        <v>582304</v>
      </c>
      <c r="R33" s="41">
        <v>582304</v>
      </c>
      <c r="S33" s="41">
        <v>582304</v>
      </c>
      <c r="T33" s="44">
        <v>582304</v>
      </c>
      <c r="U33" s="8">
        <v>582304</v>
      </c>
      <c r="V33" s="41">
        <v>582304</v>
      </c>
      <c r="W33" s="41">
        <v>582304</v>
      </c>
      <c r="X33" s="44">
        <v>582304</v>
      </c>
      <c r="Y33" s="41">
        <v>582304</v>
      </c>
      <c r="Z33" s="41">
        <v>582304</v>
      </c>
      <c r="AA33" s="44">
        <v>582304</v>
      </c>
      <c r="AB33" s="41">
        <v>582304</v>
      </c>
      <c r="AC33" s="41">
        <v>582304</v>
      </c>
      <c r="AD33" s="41">
        <v>582304</v>
      </c>
      <c r="AE33" s="41">
        <v>582304</v>
      </c>
      <c r="AF33" s="41">
        <v>582304</v>
      </c>
      <c r="AG33" s="41">
        <v>582304</v>
      </c>
      <c r="AH33" s="41">
        <v>582304</v>
      </c>
      <c r="AI33" s="41">
        <v>582304</v>
      </c>
      <c r="AJ33" s="41">
        <v>582304</v>
      </c>
    </row>
    <row r="34" spans="1:37" ht="15.75" x14ac:dyDescent="0.25">
      <c r="A34" s="7"/>
      <c r="B34" s="7" t="s">
        <v>47</v>
      </c>
      <c r="C34" s="7" t="s">
        <v>48</v>
      </c>
      <c r="D34" s="28">
        <v>10292423</v>
      </c>
      <c r="E34" s="28">
        <v>10360582</v>
      </c>
      <c r="F34" s="39">
        <v>10424708</v>
      </c>
      <c r="G34" s="39">
        <v>10476399</v>
      </c>
      <c r="H34" s="39">
        <v>10534615</v>
      </c>
      <c r="I34" s="39">
        <v>10586531</v>
      </c>
      <c r="J34" s="41">
        <v>10651888</v>
      </c>
      <c r="K34" s="41">
        <v>10709960</v>
      </c>
      <c r="L34" s="41">
        <v>10768762</v>
      </c>
      <c r="M34" s="41">
        <v>10838923</v>
      </c>
      <c r="N34" s="41">
        <v>10883285</v>
      </c>
      <c r="O34" s="27">
        <v>10914327</v>
      </c>
      <c r="P34" s="41">
        <v>10992294</v>
      </c>
      <c r="Q34" s="41">
        <v>11062041</v>
      </c>
      <c r="R34" s="41">
        <v>11113987</v>
      </c>
      <c r="S34" s="41">
        <v>11167559</v>
      </c>
      <c r="T34" s="44">
        <v>11216142</v>
      </c>
      <c r="U34" s="8">
        <v>11271820</v>
      </c>
      <c r="V34" s="41">
        <v>11333282</v>
      </c>
      <c r="W34" s="41">
        <v>11401211</v>
      </c>
      <c r="X34" s="44">
        <v>11471051</v>
      </c>
      <c r="Y34" s="41">
        <v>11541128</v>
      </c>
      <c r="Z34" s="41">
        <v>11614864</v>
      </c>
      <c r="AA34" s="44">
        <v>11704183</v>
      </c>
      <c r="AB34" s="41">
        <v>11788541</v>
      </c>
      <c r="AC34" s="41">
        <v>11856878</v>
      </c>
      <c r="AD34" s="41">
        <v>11927777</v>
      </c>
      <c r="AE34" s="41">
        <v>12006355</v>
      </c>
      <c r="AF34" s="41">
        <v>12081902</v>
      </c>
      <c r="AG34" s="41">
        <v>12162597</v>
      </c>
      <c r="AH34" s="41">
        <v>12235207</v>
      </c>
      <c r="AI34" s="41">
        <v>12319917</v>
      </c>
      <c r="AJ34" s="41">
        <v>12392217</v>
      </c>
    </row>
    <row r="35" spans="1:37" ht="15.75" x14ac:dyDescent="0.25">
      <c r="A35" s="10"/>
      <c r="B35" s="11"/>
      <c r="C35" s="11"/>
      <c r="D35" s="27"/>
      <c r="E35" s="27"/>
      <c r="F35" s="39"/>
      <c r="G35" s="39"/>
      <c r="H35" s="39"/>
      <c r="I35" s="39"/>
      <c r="J35" s="27"/>
      <c r="K35" s="27"/>
      <c r="L35" s="27"/>
      <c r="M35" s="27"/>
      <c r="N35" s="27"/>
      <c r="O35" s="27"/>
      <c r="P35" s="39"/>
      <c r="Q35" s="39"/>
      <c r="R35" s="27"/>
      <c r="S35" s="27"/>
      <c r="T35" s="46"/>
      <c r="U35" s="27"/>
      <c r="V35" s="27"/>
      <c r="W35" s="27"/>
      <c r="X35" s="46"/>
      <c r="Y35" s="27"/>
      <c r="Z35" s="27"/>
      <c r="AA35" s="46"/>
      <c r="AB35" s="27"/>
      <c r="AC35" s="27"/>
      <c r="AD35" s="27"/>
      <c r="AE35" s="27"/>
      <c r="AF35" s="27"/>
      <c r="AG35" s="27"/>
      <c r="AH35" s="27"/>
      <c r="AI35" s="27"/>
      <c r="AJ35" s="27"/>
    </row>
    <row r="36" spans="1:37" ht="15.75" x14ac:dyDescent="0.25">
      <c r="A36" s="10"/>
      <c r="B36" s="11" t="s">
        <v>49</v>
      </c>
      <c r="C36" s="11"/>
      <c r="D36" s="22">
        <f t="shared" ref="D36:I36" si="1">SUM(D11:D12)</f>
        <v>332448618</v>
      </c>
      <c r="E36" s="22">
        <f t="shared" si="1"/>
        <v>332670998</v>
      </c>
      <c r="F36" s="22">
        <f t="shared" si="1"/>
        <v>332874321</v>
      </c>
      <c r="G36" s="22">
        <f t="shared" si="1"/>
        <v>333052234</v>
      </c>
      <c r="H36" s="22">
        <f t="shared" si="1"/>
        <v>333141724</v>
      </c>
      <c r="I36" s="22">
        <f t="shared" si="1"/>
        <v>333309210</v>
      </c>
      <c r="J36" s="22">
        <f t="shared" ref="J36:K36" si="2">SUM(J11:J12)</f>
        <v>333538428</v>
      </c>
      <c r="K36" s="22">
        <f t="shared" si="2"/>
        <v>333781033</v>
      </c>
      <c r="L36" s="22">
        <f t="shared" ref="L36:M36" si="3">SUM(L11:L12)</f>
        <v>333960535</v>
      </c>
      <c r="M36" s="22">
        <f t="shared" si="3"/>
        <v>334173607</v>
      </c>
      <c r="N36" s="22">
        <f t="shared" ref="N36:O36" si="4">SUM(N11:N12)</f>
        <v>334382576</v>
      </c>
      <c r="O36" s="22">
        <f t="shared" si="4"/>
        <v>334594720</v>
      </c>
      <c r="P36" s="22">
        <f t="shared" ref="P36:Q36" si="5">SUM(P11:P12)</f>
        <v>334847465</v>
      </c>
      <c r="Q36" s="22">
        <f t="shared" si="5"/>
        <v>335054782</v>
      </c>
      <c r="R36" s="22">
        <f t="shared" ref="R36:S36" si="6">SUM(R11:R12)</f>
        <v>335201587</v>
      </c>
      <c r="S36" s="22">
        <f t="shared" si="6"/>
        <v>335377810</v>
      </c>
      <c r="T36" s="48">
        <f t="shared" ref="T36:U36" si="7">SUM(T11:T12)</f>
        <v>335610797</v>
      </c>
      <c r="U36" s="22">
        <f t="shared" si="7"/>
        <v>335829198</v>
      </c>
      <c r="V36" s="22">
        <f t="shared" ref="V36:W36" si="8">SUM(V11:V12)</f>
        <v>336063142</v>
      </c>
      <c r="W36" s="22">
        <f t="shared" si="8"/>
        <v>336247818</v>
      </c>
      <c r="X36" s="48">
        <f t="shared" ref="X36" si="9">SUM(X11:X12)</f>
        <v>336504571</v>
      </c>
      <c r="Y36" s="22">
        <f t="shared" ref="Y36:AD36" si="10">SUM(Y11:Y12)</f>
        <v>336716646</v>
      </c>
      <c r="Z36" s="22">
        <f t="shared" si="10"/>
        <v>337052902</v>
      </c>
      <c r="AA36" s="48">
        <f t="shared" si="10"/>
        <v>337295195</v>
      </c>
      <c r="AB36" s="22">
        <f t="shared" si="10"/>
        <v>337524697</v>
      </c>
      <c r="AC36" s="22">
        <f t="shared" si="10"/>
        <v>337758842</v>
      </c>
      <c r="AD36" s="22">
        <f t="shared" si="10"/>
        <v>338093170</v>
      </c>
      <c r="AE36" s="22">
        <f t="shared" ref="AE36:AF36" si="11">SUM(AE11:AE12)</f>
        <v>338219821</v>
      </c>
      <c r="AF36" s="22">
        <f t="shared" si="11"/>
        <v>338394333</v>
      </c>
      <c r="AG36" s="22">
        <f t="shared" ref="AG36:AH36" si="12">SUM(AG11:AG12)</f>
        <v>338645525</v>
      </c>
      <c r="AH36" s="22">
        <f t="shared" si="12"/>
        <v>338891733</v>
      </c>
      <c r="AI36" s="22">
        <f t="shared" ref="AI36:AJ36" si="13">SUM(AI11:AI12)</f>
        <v>339065545</v>
      </c>
      <c r="AJ36" s="22">
        <f t="shared" si="13"/>
        <v>339332518</v>
      </c>
    </row>
    <row r="37" spans="1:37" ht="18.75" x14ac:dyDescent="0.25">
      <c r="A37" s="10"/>
      <c r="B37" s="12" t="s">
        <v>50</v>
      </c>
      <c r="C37" s="12"/>
      <c r="D37" s="22">
        <f t="shared" ref="D37:I37" si="14">D32+D33+D34</f>
        <v>86695215</v>
      </c>
      <c r="E37" s="22">
        <f t="shared" si="14"/>
        <v>86763375</v>
      </c>
      <c r="F37" s="22">
        <f t="shared" si="14"/>
        <v>86827502</v>
      </c>
      <c r="G37" s="22">
        <f t="shared" si="14"/>
        <v>86879194</v>
      </c>
      <c r="H37" s="22">
        <f t="shared" si="14"/>
        <v>86937411</v>
      </c>
      <c r="I37" s="22">
        <f t="shared" si="14"/>
        <v>86989328</v>
      </c>
      <c r="J37" s="22">
        <f t="shared" ref="J37:K37" si="15">J32+J33+J34</f>
        <v>87054686</v>
      </c>
      <c r="K37" s="22">
        <f t="shared" si="15"/>
        <v>87112759</v>
      </c>
      <c r="L37" s="22">
        <f t="shared" ref="L37:M37" si="16">L32+L33+L34</f>
        <v>87171562</v>
      </c>
      <c r="M37" s="22">
        <f t="shared" si="16"/>
        <v>87241724</v>
      </c>
      <c r="N37" s="22">
        <f t="shared" ref="N37:O37" si="17">N32+N33+N34</f>
        <v>87286087</v>
      </c>
      <c r="O37" s="22">
        <f t="shared" si="17"/>
        <v>87317130</v>
      </c>
      <c r="P37" s="22">
        <f t="shared" ref="P37:Q37" si="18">P32+P33+P34</f>
        <v>87395098</v>
      </c>
      <c r="Q37" s="22">
        <f t="shared" si="18"/>
        <v>87464846</v>
      </c>
      <c r="R37" s="22">
        <f t="shared" ref="R37:S37" si="19">R32+R33+R34</f>
        <v>87516794</v>
      </c>
      <c r="S37" s="22">
        <f t="shared" si="19"/>
        <v>87570367</v>
      </c>
      <c r="T37" s="48">
        <f t="shared" ref="T37:U37" si="20">T32+T33+T34</f>
        <v>87618951</v>
      </c>
      <c r="U37" s="22">
        <f t="shared" si="20"/>
        <v>87674630</v>
      </c>
      <c r="V37" s="22">
        <f t="shared" ref="V37:W37" si="21">V32+V33+V34</f>
        <v>87736093</v>
      </c>
      <c r="W37" s="22">
        <f t="shared" si="21"/>
        <v>87804023</v>
      </c>
      <c r="X37" s="48">
        <f t="shared" ref="X37:Y37" si="22">X32+X33+X34</f>
        <v>87873865</v>
      </c>
      <c r="Y37" s="22">
        <f t="shared" si="22"/>
        <v>87943943</v>
      </c>
      <c r="Z37" s="22">
        <f t="shared" ref="Z37:AA37" si="23">Z32+Z33+Z34</f>
        <v>88017680</v>
      </c>
      <c r="AA37" s="48">
        <f t="shared" si="23"/>
        <v>88107000</v>
      </c>
      <c r="AB37" s="22">
        <f t="shared" ref="AB37:AC37" si="24">AB32+AB33+AB34</f>
        <v>88191359</v>
      </c>
      <c r="AC37" s="22">
        <f t="shared" si="24"/>
        <v>88259697</v>
      </c>
      <c r="AD37" s="22">
        <f t="shared" ref="AD37" si="25">AD32+AD33+AD34</f>
        <v>88330597</v>
      </c>
      <c r="AE37" s="22">
        <f t="shared" ref="AE37:AJ37" si="26">AE32+AE33+AE34</f>
        <v>88409176</v>
      </c>
      <c r="AF37" s="22">
        <f t="shared" si="26"/>
        <v>88484725</v>
      </c>
      <c r="AG37" s="22">
        <f t="shared" si="26"/>
        <v>88565421</v>
      </c>
      <c r="AH37" s="22">
        <f t="shared" si="26"/>
        <v>88638032</v>
      </c>
      <c r="AI37" s="22">
        <f t="shared" si="26"/>
        <v>88722743</v>
      </c>
      <c r="AJ37" s="22">
        <f t="shared" si="26"/>
        <v>88795045</v>
      </c>
    </row>
    <row r="38" spans="1:37" ht="18.75" x14ac:dyDescent="0.25">
      <c r="A38" s="10"/>
      <c r="B38" s="13" t="s">
        <v>51</v>
      </c>
      <c r="C38" s="13"/>
      <c r="D38" s="22">
        <f t="shared" ref="D38:I38" si="27">SUM(D14,D15,D16,D18,D19,D20,D21,D22)</f>
        <v>61798743</v>
      </c>
      <c r="E38" s="22">
        <f t="shared" si="27"/>
        <v>61843376</v>
      </c>
      <c r="F38" s="22">
        <f t="shared" si="27"/>
        <v>61883541</v>
      </c>
      <c r="G38" s="22">
        <f t="shared" si="27"/>
        <v>61937080</v>
      </c>
      <c r="H38" s="22">
        <f t="shared" si="27"/>
        <v>61976554</v>
      </c>
      <c r="I38" s="22">
        <f t="shared" si="27"/>
        <v>62025122</v>
      </c>
      <c r="J38" s="22">
        <f t="shared" ref="J38:K38" si="28">SUM(J14,J15,J16,J18,J19,J20,J21,J22)</f>
        <v>62075305</v>
      </c>
      <c r="K38" s="22">
        <f t="shared" si="28"/>
        <v>62128042</v>
      </c>
      <c r="L38" s="22">
        <f t="shared" ref="L38:M38" si="29">SUM(L14,L15,L16,L18,L19,L20,L21,L22)</f>
        <v>62180377</v>
      </c>
      <c r="M38" s="22">
        <f t="shared" si="29"/>
        <v>62229180</v>
      </c>
      <c r="N38" s="22">
        <f t="shared" ref="N38:O38" si="30">SUM(N14,N15,N16,N18,N19,N20,N21,N22)</f>
        <v>62280553</v>
      </c>
      <c r="O38" s="22">
        <f t="shared" si="30"/>
        <v>62327951</v>
      </c>
      <c r="P38" s="22">
        <f t="shared" ref="P38:Q38" si="31">SUM(P14,P15,P16,P18,P19,P20,P21,P22)</f>
        <v>62376536</v>
      </c>
      <c r="Q38" s="22">
        <f t="shared" si="31"/>
        <v>62419640</v>
      </c>
      <c r="R38" s="22">
        <f t="shared" ref="R38:S38" si="32">SUM(R14,R15,R16,R18,R19,R20,R21,R22)</f>
        <v>62458435</v>
      </c>
      <c r="S38" s="22">
        <f t="shared" si="32"/>
        <v>62502766</v>
      </c>
      <c r="T38" s="48">
        <f t="shared" ref="T38:U38" si="33">SUM(T14,T15,T16,T18,T19,T20,T21,T22)</f>
        <v>62551127</v>
      </c>
      <c r="U38" s="22">
        <f t="shared" si="33"/>
        <v>62597434</v>
      </c>
      <c r="V38" s="22">
        <f t="shared" ref="V38:W38" si="34">SUM(V14,V15,V16,V18,V19,V20,V21,V22)</f>
        <v>62650243</v>
      </c>
      <c r="W38" s="22">
        <f t="shared" si="34"/>
        <v>62702970</v>
      </c>
      <c r="X38" s="48">
        <f t="shared" ref="X38:Y38" si="35">SUM(X14,X15,X16,X18,X19,X20,X21,X22)</f>
        <v>62752864</v>
      </c>
      <c r="Y38" s="22">
        <f t="shared" si="35"/>
        <v>62809614</v>
      </c>
      <c r="Z38" s="22">
        <f t="shared" ref="Z38:AA38" si="36">SUM(Z14,Z15,Z16,Z18,Z19,Z20,Z21,Z22)</f>
        <v>62861296</v>
      </c>
      <c r="AA38" s="48">
        <f t="shared" si="36"/>
        <v>62914012</v>
      </c>
      <c r="AB38" s="22">
        <f t="shared" ref="AB38:AC38" si="37">SUM(AB14,AB15,AB16,AB18,AB19,AB20,AB21,AB22)</f>
        <v>62969469</v>
      </c>
      <c r="AC38" s="22">
        <f t="shared" si="37"/>
        <v>63020545</v>
      </c>
      <c r="AD38" s="22">
        <f t="shared" ref="AD38:AE38" si="38">SUM(AD14,AD15,AD16,AD18,AD19,AD20,AD21,AD22)</f>
        <v>63072732</v>
      </c>
      <c r="AE38" s="22">
        <f t="shared" si="38"/>
        <v>63124696</v>
      </c>
      <c r="AF38" s="22">
        <f t="shared" ref="AF38" si="39">SUM(AF14,AF15,AF16,AF18,AF19,AF20,AF21,AF22)</f>
        <v>63178922</v>
      </c>
      <c r="AG38" s="22">
        <f>SUM(AG14,AG15,AG16,AG18,AG19,AG20,AG21,AG22)</f>
        <v>63233966</v>
      </c>
      <c r="AH38" s="22">
        <f>SUM(AH14,AH15,AH16,AH18,AH19,AH20,AH21,AH22)</f>
        <v>63288714</v>
      </c>
      <c r="AI38" s="22">
        <f>SUM(AI14,AI15,AI16,AI18,AI19,AI20,AI21,AI22)</f>
        <v>63335559</v>
      </c>
      <c r="AJ38" s="22">
        <f>SUM(AJ14,AJ15,AJ16,AJ18,AJ19,AJ20,AJ21,AJ22)</f>
        <v>63384933</v>
      </c>
      <c r="AK38" s="58">
        <f>AJ38-AI38+(AJ29-AI29)*0.65</f>
        <v>64625.599999999999</v>
      </c>
    </row>
    <row r="39" spans="1:37" ht="18.75" x14ac:dyDescent="0.25">
      <c r="A39" s="10"/>
      <c r="B39" s="14" t="s">
        <v>52</v>
      </c>
      <c r="C39" s="14"/>
      <c r="D39" s="22">
        <f t="shared" ref="D39:J39" si="40">D9-D37-D38</f>
        <v>535399907</v>
      </c>
      <c r="E39" s="22">
        <f t="shared" si="40"/>
        <v>535849536</v>
      </c>
      <c r="F39" s="22">
        <f t="shared" si="40"/>
        <v>536280772</v>
      </c>
      <c r="G39" s="22">
        <f t="shared" si="40"/>
        <v>536717264</v>
      </c>
      <c r="H39" s="22">
        <f t="shared" si="40"/>
        <v>537029194</v>
      </c>
      <c r="I39" s="22">
        <f t="shared" si="40"/>
        <v>537447997</v>
      </c>
      <c r="J39" s="22">
        <f t="shared" si="40"/>
        <v>537897925</v>
      </c>
      <c r="K39" s="22">
        <f t="shared" ref="K39:L39" si="41">K9-K37-K38</f>
        <v>538371877</v>
      </c>
      <c r="L39" s="22">
        <f t="shared" si="41"/>
        <v>538830380</v>
      </c>
      <c r="M39" s="22">
        <f t="shared" ref="M39" si="42">M9-M37-M38</f>
        <v>539274675</v>
      </c>
      <c r="N39" s="22">
        <f t="shared" ref="N39:O39" si="43">N9-N37-N38</f>
        <v>539742180</v>
      </c>
      <c r="O39" s="22">
        <f t="shared" si="43"/>
        <v>540126654</v>
      </c>
      <c r="P39" s="22">
        <f t="shared" ref="P39:Q39" si="44">P9-P37-P38</f>
        <v>540564097</v>
      </c>
      <c r="Q39" s="22">
        <f t="shared" si="44"/>
        <v>540827622</v>
      </c>
      <c r="R39" s="22">
        <f t="shared" ref="R39:S39" si="45">R9-R37-R38</f>
        <v>541255376</v>
      </c>
      <c r="S39" s="22">
        <f t="shared" si="45"/>
        <v>541604963</v>
      </c>
      <c r="T39" s="48">
        <f t="shared" ref="T39:U39" si="46">T9-T37-T38</f>
        <v>541963545</v>
      </c>
      <c r="U39" s="22">
        <f t="shared" si="46"/>
        <v>542336954</v>
      </c>
      <c r="V39" s="22">
        <f t="shared" ref="V39:W39" si="47">V9-V37-V38</f>
        <v>542764970</v>
      </c>
      <c r="W39" s="22">
        <f t="shared" si="47"/>
        <v>543218860</v>
      </c>
      <c r="X39" s="48">
        <f t="shared" ref="X39:Y39" si="48">X9-X37-X38</f>
        <v>543675131</v>
      </c>
      <c r="Y39" s="22">
        <f t="shared" si="48"/>
        <v>544142745</v>
      </c>
      <c r="Z39" s="22">
        <f t="shared" ref="Z39:AA39" si="49">Z9-Z37-Z38</f>
        <v>544607349</v>
      </c>
      <c r="AA39" s="48">
        <f t="shared" si="49"/>
        <v>545080103</v>
      </c>
      <c r="AB39" s="22">
        <f t="shared" ref="AB39:AC39" si="50">AB9-AB37-AB38</f>
        <v>545539905</v>
      </c>
      <c r="AC39" s="22">
        <f t="shared" si="50"/>
        <v>545990688</v>
      </c>
      <c r="AD39" s="22">
        <f t="shared" ref="AD39" si="51">AD9-AD37-AD38</f>
        <v>546430479</v>
      </c>
      <c r="AE39" s="22">
        <f t="shared" ref="AE39:AI39" si="52">AE9-AE37-AE38</f>
        <v>546886367</v>
      </c>
      <c r="AF39" s="22">
        <f t="shared" si="52"/>
        <v>547355015</v>
      </c>
      <c r="AG39" s="22">
        <f t="shared" si="52"/>
        <v>547814352</v>
      </c>
      <c r="AH39" s="22">
        <f t="shared" si="52"/>
        <v>548277023</v>
      </c>
      <c r="AI39" s="22">
        <f t="shared" si="52"/>
        <v>548725066</v>
      </c>
      <c r="AJ39" s="22">
        <f>AJ9-AJ37-AJ38</f>
        <v>549192135</v>
      </c>
      <c r="AK39" s="58">
        <f>AJ39-AI39</f>
        <v>467069</v>
      </c>
    </row>
    <row r="40" spans="1:37" ht="18.75" x14ac:dyDescent="0.25">
      <c r="A40" s="10"/>
      <c r="B40" s="14"/>
      <c r="C40" s="14"/>
      <c r="D40" s="8"/>
      <c r="E40" s="8"/>
      <c r="F40" s="8"/>
      <c r="G40" s="39"/>
      <c r="H40" s="39"/>
      <c r="I40" s="39"/>
      <c r="J40" s="39"/>
      <c r="K40" s="39"/>
      <c r="L40" s="39"/>
      <c r="M40" s="39"/>
      <c r="N40" s="27"/>
      <c r="O40" s="27"/>
      <c r="P40" s="39"/>
      <c r="Q40" s="39"/>
      <c r="R40" s="39"/>
      <c r="S40" s="39"/>
      <c r="T40" s="47"/>
      <c r="U40" s="39"/>
      <c r="V40" s="39"/>
      <c r="W40" s="39"/>
      <c r="X40" s="47"/>
      <c r="Y40" s="39"/>
      <c r="Z40" s="39"/>
      <c r="AA40" s="47"/>
      <c r="AB40" s="39"/>
      <c r="AC40" s="39"/>
      <c r="AD40" s="39"/>
      <c r="AE40" s="39"/>
      <c r="AF40" s="39"/>
      <c r="AG40" s="39"/>
      <c r="AH40" s="39"/>
      <c r="AI40" s="27"/>
      <c r="AJ40" s="27"/>
    </row>
    <row r="41" spans="1:37" ht="18.75" x14ac:dyDescent="0.25">
      <c r="A41" s="10"/>
      <c r="B41" s="15" t="s">
        <v>53</v>
      </c>
      <c r="C41" s="15"/>
      <c r="D41" s="30">
        <f t="shared" ref="D41:I41" si="53">D37-C37</f>
        <v>86695215</v>
      </c>
      <c r="E41" s="30">
        <f t="shared" si="53"/>
        <v>68160</v>
      </c>
      <c r="F41" s="30">
        <f t="shared" si="53"/>
        <v>64127</v>
      </c>
      <c r="G41" s="30">
        <f t="shared" si="53"/>
        <v>51692</v>
      </c>
      <c r="H41" s="30">
        <f t="shared" si="53"/>
        <v>58217</v>
      </c>
      <c r="I41" s="30">
        <f t="shared" si="53"/>
        <v>51917</v>
      </c>
      <c r="J41" s="30">
        <f t="shared" ref="J41:AI41" si="54">J37-I37</f>
        <v>65358</v>
      </c>
      <c r="K41" s="30">
        <f t="shared" si="54"/>
        <v>58073</v>
      </c>
      <c r="L41" s="30">
        <f t="shared" si="54"/>
        <v>58803</v>
      </c>
      <c r="M41" s="30">
        <f t="shared" si="54"/>
        <v>70162</v>
      </c>
      <c r="N41" s="30">
        <f t="shared" si="54"/>
        <v>44363</v>
      </c>
      <c r="O41" s="30">
        <f t="shared" si="54"/>
        <v>31043</v>
      </c>
      <c r="P41" s="30">
        <f t="shared" si="54"/>
        <v>77968</v>
      </c>
      <c r="Q41" s="30">
        <f t="shared" si="54"/>
        <v>69748</v>
      </c>
      <c r="R41" s="30">
        <f t="shared" si="54"/>
        <v>51948</v>
      </c>
      <c r="S41" s="30">
        <f t="shared" si="54"/>
        <v>53573</v>
      </c>
      <c r="T41" s="49">
        <f t="shared" si="54"/>
        <v>48584</v>
      </c>
      <c r="U41" s="30">
        <f t="shared" si="54"/>
        <v>55679</v>
      </c>
      <c r="V41" s="30">
        <f t="shared" si="54"/>
        <v>61463</v>
      </c>
      <c r="W41" s="30">
        <f t="shared" si="54"/>
        <v>67930</v>
      </c>
      <c r="X41" s="49">
        <f t="shared" si="54"/>
        <v>69842</v>
      </c>
      <c r="Y41" s="30">
        <f t="shared" si="54"/>
        <v>70078</v>
      </c>
      <c r="Z41" s="30">
        <f t="shared" si="54"/>
        <v>73737</v>
      </c>
      <c r="AA41" s="49">
        <f t="shared" si="54"/>
        <v>89320</v>
      </c>
      <c r="AB41" s="30">
        <f t="shared" si="54"/>
        <v>84359</v>
      </c>
      <c r="AC41" s="30">
        <f t="shared" si="54"/>
        <v>68338</v>
      </c>
      <c r="AD41" s="30">
        <f t="shared" si="54"/>
        <v>70900</v>
      </c>
      <c r="AE41" s="30">
        <f t="shared" si="54"/>
        <v>78579</v>
      </c>
      <c r="AF41" s="30">
        <f t="shared" si="54"/>
        <v>75549</v>
      </c>
      <c r="AG41" s="30">
        <f t="shared" si="54"/>
        <v>80696</v>
      </c>
      <c r="AH41" s="30">
        <f t="shared" si="54"/>
        <v>72611</v>
      </c>
      <c r="AI41" s="30">
        <f t="shared" si="54"/>
        <v>84711</v>
      </c>
      <c r="AJ41" s="30">
        <f>AJ37-AI37</f>
        <v>72302</v>
      </c>
    </row>
    <row r="42" spans="1:37" ht="18.75" x14ac:dyDescent="0.25">
      <c r="A42" s="10"/>
      <c r="B42" s="15" t="s">
        <v>54</v>
      </c>
      <c r="C42" s="15"/>
      <c r="D42" s="30" t="e">
        <f t="shared" ref="D42:I42" si="55">D30-C30</f>
        <v>#VALUE!</v>
      </c>
      <c r="E42" s="30">
        <f t="shared" si="55"/>
        <v>0</v>
      </c>
      <c r="F42" s="30">
        <f t="shared" si="55"/>
        <v>0</v>
      </c>
      <c r="G42" s="30">
        <f t="shared" si="55"/>
        <v>0</v>
      </c>
      <c r="H42" s="30">
        <f t="shared" si="55"/>
        <v>0</v>
      </c>
      <c r="I42" s="30">
        <f t="shared" si="55"/>
        <v>0</v>
      </c>
      <c r="J42" s="30">
        <f t="shared" ref="J42:AJ42" si="56">J30-I30</f>
        <v>0</v>
      </c>
      <c r="K42" s="30">
        <f t="shared" si="56"/>
        <v>0</v>
      </c>
      <c r="L42" s="30">
        <f t="shared" si="56"/>
        <v>0</v>
      </c>
      <c r="M42" s="30">
        <f t="shared" si="56"/>
        <v>0</v>
      </c>
      <c r="N42" s="30">
        <f t="shared" si="56"/>
        <v>0</v>
      </c>
      <c r="O42" s="30">
        <f t="shared" si="56"/>
        <v>0</v>
      </c>
      <c r="P42" s="30">
        <f t="shared" si="56"/>
        <v>0</v>
      </c>
      <c r="Q42" s="30">
        <f t="shared" si="56"/>
        <v>0</v>
      </c>
      <c r="R42" s="30">
        <f t="shared" si="56"/>
        <v>0</v>
      </c>
      <c r="S42" s="30">
        <f t="shared" si="56"/>
        <v>0</v>
      </c>
      <c r="T42" s="49">
        <f t="shared" si="56"/>
        <v>0</v>
      </c>
      <c r="U42" s="30">
        <f t="shared" si="56"/>
        <v>0</v>
      </c>
      <c r="V42" s="30">
        <f t="shared" si="56"/>
        <v>0</v>
      </c>
      <c r="W42" s="30">
        <f t="shared" si="56"/>
        <v>0</v>
      </c>
      <c r="X42" s="49">
        <f t="shared" si="56"/>
        <v>0</v>
      </c>
      <c r="Y42" s="30">
        <f t="shared" si="56"/>
        <v>0</v>
      </c>
      <c r="Z42" s="30">
        <f t="shared" si="56"/>
        <v>0</v>
      </c>
      <c r="AA42" s="49">
        <f t="shared" si="56"/>
        <v>0</v>
      </c>
      <c r="AB42" s="30">
        <f t="shared" si="56"/>
        <v>0</v>
      </c>
      <c r="AC42" s="30">
        <f t="shared" si="56"/>
        <v>0</v>
      </c>
      <c r="AD42" s="30">
        <f t="shared" si="56"/>
        <v>0</v>
      </c>
      <c r="AE42" s="30">
        <f t="shared" si="56"/>
        <v>0</v>
      </c>
      <c r="AF42" s="30">
        <f t="shared" si="56"/>
        <v>0</v>
      </c>
      <c r="AG42" s="30">
        <f t="shared" si="56"/>
        <v>0</v>
      </c>
      <c r="AH42" s="30">
        <f t="shared" si="56"/>
        <v>0</v>
      </c>
      <c r="AI42" s="30">
        <f t="shared" si="56"/>
        <v>0</v>
      </c>
      <c r="AJ42" s="30">
        <f t="shared" si="56"/>
        <v>0</v>
      </c>
    </row>
    <row r="43" spans="1:37" ht="18.75" x14ac:dyDescent="0.25">
      <c r="A43" s="10"/>
      <c r="B43" s="16" t="s">
        <v>55</v>
      </c>
      <c r="C43" s="16"/>
      <c r="D43" s="31" t="e">
        <f t="shared" ref="D43:I43" si="57">D29-C29</f>
        <v>#VALUE!</v>
      </c>
      <c r="E43" s="31">
        <f t="shared" si="57"/>
        <v>123139</v>
      </c>
      <c r="F43" s="31">
        <f t="shared" si="57"/>
        <v>115284</v>
      </c>
      <c r="G43" s="31">
        <f t="shared" si="57"/>
        <v>122266</v>
      </c>
      <c r="H43" s="31">
        <f t="shared" si="57"/>
        <v>87163</v>
      </c>
      <c r="I43" s="31">
        <f t="shared" si="57"/>
        <v>33183</v>
      </c>
      <c r="J43" s="31">
        <f t="shared" ref="J43:AI43" si="58">J29-I29</f>
        <v>31508</v>
      </c>
      <c r="K43" s="31">
        <f t="shared" si="58"/>
        <v>40085</v>
      </c>
      <c r="L43" s="31">
        <f t="shared" si="58"/>
        <v>40814</v>
      </c>
      <c r="M43" s="31">
        <f t="shared" si="58"/>
        <v>24886</v>
      </c>
      <c r="N43" s="31">
        <f t="shared" si="58"/>
        <v>26564</v>
      </c>
      <c r="O43" s="31">
        <f t="shared" si="58"/>
        <v>29365</v>
      </c>
      <c r="P43" s="31">
        <f t="shared" si="58"/>
        <v>34824</v>
      </c>
      <c r="Q43" s="31">
        <f t="shared" si="58"/>
        <v>32650</v>
      </c>
      <c r="R43" s="31">
        <f t="shared" si="58"/>
        <v>33156</v>
      </c>
      <c r="S43" s="31">
        <f t="shared" si="58"/>
        <v>35483</v>
      </c>
      <c r="T43" s="50">
        <f t="shared" si="58"/>
        <v>38975</v>
      </c>
      <c r="U43" s="31">
        <f t="shared" si="58"/>
        <v>30438</v>
      </c>
      <c r="V43" s="31">
        <f t="shared" si="58"/>
        <v>24659</v>
      </c>
      <c r="W43" s="31">
        <f t="shared" si="58"/>
        <v>25022</v>
      </c>
      <c r="X43" s="50">
        <f t="shared" si="58"/>
        <v>29545</v>
      </c>
      <c r="Y43" s="31">
        <f t="shared" si="58"/>
        <v>34022</v>
      </c>
      <c r="Z43" s="31">
        <f t="shared" si="58"/>
        <v>30139</v>
      </c>
      <c r="AA43" s="50">
        <f t="shared" si="58"/>
        <v>25030</v>
      </c>
      <c r="AB43" s="31">
        <f t="shared" si="58"/>
        <v>25178</v>
      </c>
      <c r="AC43" s="31">
        <f t="shared" si="58"/>
        <v>24664</v>
      </c>
      <c r="AD43" s="31">
        <f t="shared" si="58"/>
        <v>22768</v>
      </c>
      <c r="AE43" s="31">
        <f t="shared" si="58"/>
        <v>24698</v>
      </c>
      <c r="AF43" s="31">
        <f t="shared" si="58"/>
        <v>25329</v>
      </c>
      <c r="AG43" s="31">
        <f t="shared" si="58"/>
        <v>25708</v>
      </c>
      <c r="AH43" s="31">
        <f t="shared" si="58"/>
        <v>24947</v>
      </c>
      <c r="AI43" s="31">
        <f t="shared" si="58"/>
        <v>25318</v>
      </c>
      <c r="AJ43" s="31">
        <f>AJ29-AI29</f>
        <v>23464</v>
      </c>
      <c r="AK43" s="59">
        <f>AJ43</f>
        <v>23464</v>
      </c>
    </row>
    <row r="44" spans="1:37" ht="18.75" x14ac:dyDescent="0.25">
      <c r="A44" s="17" t="s">
        <v>56</v>
      </c>
      <c r="B44" s="18" t="s">
        <v>57</v>
      </c>
      <c r="C44" s="18"/>
      <c r="D44" s="32" t="e">
        <f t="shared" ref="D44:I44" si="59">(D38-C38)+(D29-C29)*0.65</f>
        <v>#VALUE!</v>
      </c>
      <c r="E44" s="32">
        <f t="shared" si="59"/>
        <v>124673.35</v>
      </c>
      <c r="F44" s="32">
        <f t="shared" si="59"/>
        <v>115099.6</v>
      </c>
      <c r="G44" s="32">
        <f t="shared" si="59"/>
        <v>133011.90000000002</v>
      </c>
      <c r="H44" s="32">
        <f t="shared" si="59"/>
        <v>96129.950000000012</v>
      </c>
      <c r="I44" s="32">
        <f t="shared" si="59"/>
        <v>70136.95</v>
      </c>
      <c r="J44" s="32">
        <f t="shared" ref="J44:AH44" si="60">(J38-I38)+(J29-I29)*0.65</f>
        <v>70663.199999999997</v>
      </c>
      <c r="K44" s="32">
        <f t="shared" si="60"/>
        <v>78792.25</v>
      </c>
      <c r="L44" s="32">
        <f t="shared" si="60"/>
        <v>78864.100000000006</v>
      </c>
      <c r="M44" s="32">
        <f t="shared" si="60"/>
        <v>64978.9</v>
      </c>
      <c r="N44" s="32">
        <f t="shared" si="60"/>
        <v>68639.600000000006</v>
      </c>
      <c r="O44" s="32">
        <f t="shared" si="60"/>
        <v>66485.25</v>
      </c>
      <c r="P44" s="32">
        <f t="shared" si="60"/>
        <v>71220.600000000006</v>
      </c>
      <c r="Q44" s="32">
        <f t="shared" si="60"/>
        <v>64326.5</v>
      </c>
      <c r="R44" s="32">
        <f t="shared" si="60"/>
        <v>60346.400000000001</v>
      </c>
      <c r="S44" s="32">
        <f t="shared" si="60"/>
        <v>67394.95</v>
      </c>
      <c r="T44" s="51">
        <f t="shared" si="60"/>
        <v>73694.75</v>
      </c>
      <c r="U44" s="32">
        <f t="shared" si="60"/>
        <v>66091.7</v>
      </c>
      <c r="V44" s="32">
        <f t="shared" si="60"/>
        <v>68837.350000000006</v>
      </c>
      <c r="W44" s="32">
        <f t="shared" si="60"/>
        <v>68991.3</v>
      </c>
      <c r="X44" s="51">
        <f t="shared" si="60"/>
        <v>69098.25</v>
      </c>
      <c r="Y44" s="32">
        <f t="shared" si="60"/>
        <v>78864.3</v>
      </c>
      <c r="Z44" s="32">
        <f t="shared" si="60"/>
        <v>71272.350000000006</v>
      </c>
      <c r="AA44" s="51">
        <f t="shared" si="60"/>
        <v>68985.5</v>
      </c>
      <c r="AB44" s="32">
        <f t="shared" si="60"/>
        <v>71822.7</v>
      </c>
      <c r="AC44" s="32">
        <f t="shared" si="60"/>
        <v>67107.600000000006</v>
      </c>
      <c r="AD44" s="32">
        <f t="shared" si="60"/>
        <v>66986.2</v>
      </c>
      <c r="AE44" s="32">
        <f t="shared" si="60"/>
        <v>68017.7</v>
      </c>
      <c r="AF44" s="32">
        <f t="shared" si="60"/>
        <v>70689.850000000006</v>
      </c>
      <c r="AG44" s="32">
        <f t="shared" si="60"/>
        <v>71754.2</v>
      </c>
      <c r="AH44" s="32">
        <f t="shared" si="60"/>
        <v>70963.55</v>
      </c>
      <c r="AI44" s="32">
        <f>(AI38-AH38)+(AI29-AH29)*0.65</f>
        <v>63301.7</v>
      </c>
      <c r="AJ44" s="32">
        <f>(AJ38-AI38)+(AJ29-AI29)*0.65</f>
        <v>64625.599999999999</v>
      </c>
    </row>
    <row r="45" spans="1:37" ht="18.75" x14ac:dyDescent="0.25">
      <c r="A45" s="17" t="s">
        <v>58</v>
      </c>
      <c r="B45" s="19" t="s">
        <v>59</v>
      </c>
      <c r="C45" s="19"/>
      <c r="D45" s="33" t="e">
        <f t="shared" ref="D45:I45" si="61">(D39-C39)-(D29-C29)*0.65-D42-D41</f>
        <v>#VALUE!</v>
      </c>
      <c r="E45" s="33">
        <f t="shared" si="61"/>
        <v>301428.65000000002</v>
      </c>
      <c r="F45" s="33">
        <f t="shared" si="61"/>
        <v>292174.40000000002</v>
      </c>
      <c r="G45" s="33">
        <f t="shared" si="61"/>
        <v>305327.09999999998</v>
      </c>
      <c r="H45" s="33">
        <f t="shared" si="61"/>
        <v>197057.05</v>
      </c>
      <c r="I45" s="33">
        <f t="shared" si="61"/>
        <v>345317.05</v>
      </c>
      <c r="J45" s="33">
        <f t="shared" ref="J45:AD45" si="62">(J39-I39)-(J29-I29)*0.65-J42-J41</f>
        <v>364089.8</v>
      </c>
      <c r="K45" s="33">
        <f t="shared" si="62"/>
        <v>389823.75</v>
      </c>
      <c r="L45" s="33">
        <f t="shared" si="62"/>
        <v>373170.9</v>
      </c>
      <c r="M45" s="33">
        <f t="shared" si="62"/>
        <v>357957.1</v>
      </c>
      <c r="N45" s="33">
        <f t="shared" si="62"/>
        <v>405875.4</v>
      </c>
      <c r="O45" s="33">
        <f t="shared" si="62"/>
        <v>334343.75</v>
      </c>
      <c r="P45" s="33">
        <f t="shared" si="62"/>
        <v>336839.4</v>
      </c>
      <c r="Q45" s="33">
        <f t="shared" si="62"/>
        <v>172554.5</v>
      </c>
      <c r="R45" s="33">
        <f t="shared" si="62"/>
        <v>354254.6</v>
      </c>
      <c r="S45" s="33">
        <f t="shared" si="62"/>
        <v>272950.05</v>
      </c>
      <c r="T45" s="52">
        <f t="shared" si="62"/>
        <v>284664.25</v>
      </c>
      <c r="U45" s="33">
        <f t="shared" si="62"/>
        <v>297945.3</v>
      </c>
      <c r="V45" s="33">
        <f t="shared" si="62"/>
        <v>350524.65</v>
      </c>
      <c r="W45" s="33">
        <f t="shared" si="62"/>
        <v>369695.7</v>
      </c>
      <c r="X45" s="52">
        <f t="shared" si="62"/>
        <v>367224.75</v>
      </c>
      <c r="Y45" s="33">
        <f t="shared" si="62"/>
        <v>375421.7</v>
      </c>
      <c r="Z45" s="33">
        <f t="shared" si="62"/>
        <v>371276.65</v>
      </c>
      <c r="AA45" s="52">
        <f t="shared" si="62"/>
        <v>367164.5</v>
      </c>
      <c r="AB45" s="33">
        <f t="shared" si="62"/>
        <v>359077.3</v>
      </c>
      <c r="AC45" s="33">
        <f t="shared" si="62"/>
        <v>366413.4</v>
      </c>
      <c r="AD45" s="33">
        <f t="shared" si="62"/>
        <v>354091.8</v>
      </c>
      <c r="AE45" s="33">
        <f t="shared" ref="AE45:AI45" si="63">(AE39-AD39)-(AE29-AD29)*0.65-AE42-AE41</f>
        <v>361255.3</v>
      </c>
      <c r="AF45" s="33">
        <f t="shared" si="63"/>
        <v>376635.15</v>
      </c>
      <c r="AG45" s="33">
        <f t="shared" si="63"/>
        <v>361930.8</v>
      </c>
      <c r="AH45" s="33">
        <f t="shared" si="63"/>
        <v>373844.45</v>
      </c>
      <c r="AI45" s="33">
        <f t="shared" si="63"/>
        <v>346875.3</v>
      </c>
      <c r="AJ45" s="33">
        <f>(AJ39-AI39)-(AJ29-AI29)*0.65-AJ42-AJ41</f>
        <v>379515.4</v>
      </c>
      <c r="AK45">
        <f>(AJ39-AI39)-AK43*0.65-AJ41</f>
        <v>379515.4</v>
      </c>
    </row>
    <row r="46" spans="1:37" ht="18.75" x14ac:dyDescent="0.25">
      <c r="A46" s="17" t="s">
        <v>60</v>
      </c>
      <c r="B46" s="20" t="s">
        <v>61</v>
      </c>
      <c r="C46" s="20"/>
      <c r="D46" s="34" t="e">
        <f t="shared" ref="D46:I46" si="64">(D12+D11)-(C11+C12)</f>
        <v>#VALUE!</v>
      </c>
      <c r="E46" s="34">
        <f t="shared" si="64"/>
        <v>222380</v>
      </c>
      <c r="F46" s="34">
        <f t="shared" si="64"/>
        <v>203323</v>
      </c>
      <c r="G46" s="34">
        <f t="shared" si="64"/>
        <v>177913</v>
      </c>
      <c r="H46" s="34">
        <f t="shared" si="64"/>
        <v>89490</v>
      </c>
      <c r="I46" s="34">
        <f t="shared" si="64"/>
        <v>167486</v>
      </c>
      <c r="J46" s="34">
        <f t="shared" ref="J46:AJ46" si="65">(J12+J11)-(I11+I12)</f>
        <v>229218</v>
      </c>
      <c r="K46" s="34">
        <f t="shared" si="65"/>
        <v>242605</v>
      </c>
      <c r="L46" s="34">
        <f t="shared" si="65"/>
        <v>179502</v>
      </c>
      <c r="M46" s="34">
        <f t="shared" si="65"/>
        <v>213072</v>
      </c>
      <c r="N46" s="34">
        <f t="shared" si="65"/>
        <v>208969</v>
      </c>
      <c r="O46" s="34">
        <f t="shared" si="65"/>
        <v>212144</v>
      </c>
      <c r="P46" s="34">
        <f t="shared" si="65"/>
        <v>252745</v>
      </c>
      <c r="Q46" s="34">
        <f t="shared" si="65"/>
        <v>207317</v>
      </c>
      <c r="R46" s="34">
        <f t="shared" si="65"/>
        <v>146805</v>
      </c>
      <c r="S46" s="34">
        <f t="shared" si="65"/>
        <v>176223</v>
      </c>
      <c r="T46" s="53">
        <f t="shared" si="65"/>
        <v>232987</v>
      </c>
      <c r="U46" s="34">
        <f t="shared" si="65"/>
        <v>218401</v>
      </c>
      <c r="V46" s="34">
        <f t="shared" si="65"/>
        <v>233944</v>
      </c>
      <c r="W46" s="34">
        <f t="shared" si="65"/>
        <v>184676</v>
      </c>
      <c r="X46" s="53">
        <f t="shared" si="65"/>
        <v>256753</v>
      </c>
      <c r="Y46" s="34">
        <f t="shared" si="65"/>
        <v>212075</v>
      </c>
      <c r="Z46" s="34">
        <f t="shared" si="65"/>
        <v>336256</v>
      </c>
      <c r="AA46" s="53">
        <f t="shared" si="65"/>
        <v>242293</v>
      </c>
      <c r="AB46" s="34">
        <f t="shared" si="65"/>
        <v>229502</v>
      </c>
      <c r="AC46" s="34">
        <f t="shared" si="65"/>
        <v>234145</v>
      </c>
      <c r="AD46" s="34">
        <f t="shared" si="65"/>
        <v>334328</v>
      </c>
      <c r="AE46" s="34">
        <f t="shared" si="65"/>
        <v>126651</v>
      </c>
      <c r="AF46" s="34">
        <f t="shared" si="65"/>
        <v>174512</v>
      </c>
      <c r="AG46" s="34">
        <f t="shared" si="65"/>
        <v>251192</v>
      </c>
      <c r="AH46" s="34">
        <f t="shared" si="65"/>
        <v>246208</v>
      </c>
      <c r="AI46" s="34">
        <f t="shared" si="65"/>
        <v>173812</v>
      </c>
      <c r="AJ46" s="34">
        <f t="shared" si="65"/>
        <v>266973</v>
      </c>
    </row>
    <row r="47" spans="1:37" ht="18.75" x14ac:dyDescent="0.25">
      <c r="A47" s="17" t="s">
        <v>62</v>
      </c>
      <c r="B47" s="21" t="s">
        <v>63</v>
      </c>
      <c r="C47" s="21"/>
      <c r="D47" s="35" t="e">
        <f t="shared" ref="D47:J47" si="66">D44+D45+D46</f>
        <v>#VALUE!</v>
      </c>
      <c r="E47" s="35">
        <f t="shared" si="66"/>
        <v>648482</v>
      </c>
      <c r="F47" s="35">
        <f t="shared" si="66"/>
        <v>610597</v>
      </c>
      <c r="G47" s="35">
        <f t="shared" si="66"/>
        <v>616252</v>
      </c>
      <c r="H47" s="35">
        <f t="shared" si="66"/>
        <v>382677</v>
      </c>
      <c r="I47" s="35">
        <f t="shared" si="66"/>
        <v>582940</v>
      </c>
      <c r="J47" s="35">
        <f t="shared" si="66"/>
        <v>663971</v>
      </c>
      <c r="K47" s="35">
        <f t="shared" ref="K47:L47" si="67">K44+K45+K46</f>
        <v>711221</v>
      </c>
      <c r="L47" s="35">
        <f t="shared" si="67"/>
        <v>631537</v>
      </c>
      <c r="M47" s="35">
        <f t="shared" ref="M47" si="68">M44+M45+M46</f>
        <v>636008</v>
      </c>
      <c r="N47" s="35">
        <f t="shared" ref="N47:O47" si="69">N44+N45+N46</f>
        <v>683484</v>
      </c>
      <c r="O47" s="35">
        <f t="shared" si="69"/>
        <v>612973</v>
      </c>
      <c r="P47" s="35">
        <f t="shared" ref="P47:Q47" si="70">P44+P45+P46</f>
        <v>660805</v>
      </c>
      <c r="Q47" s="35">
        <f t="shared" si="70"/>
        <v>444198</v>
      </c>
      <c r="R47" s="35">
        <f t="shared" ref="R47:S47" si="71">R44+R45+R46</f>
        <v>561406</v>
      </c>
      <c r="S47" s="35">
        <f t="shared" si="71"/>
        <v>516568</v>
      </c>
      <c r="T47" s="54">
        <f t="shared" ref="T47:U47" si="72">T44+T45+T46</f>
        <v>591346</v>
      </c>
      <c r="U47" s="35">
        <f t="shared" si="72"/>
        <v>582438</v>
      </c>
      <c r="V47" s="35">
        <f t="shared" ref="V47:W47" si="73">V44+V45+V46</f>
        <v>653306</v>
      </c>
      <c r="W47" s="35">
        <f t="shared" si="73"/>
        <v>623363</v>
      </c>
      <c r="X47" s="54">
        <f t="shared" ref="X47:Y47" si="74">X44+X45+X46</f>
        <v>693076</v>
      </c>
      <c r="Y47" s="35">
        <f t="shared" si="74"/>
        <v>666361</v>
      </c>
      <c r="Z47" s="35">
        <f t="shared" ref="Z47:AA47" si="75">Z44+Z45+Z46</f>
        <v>778805</v>
      </c>
      <c r="AA47" s="54">
        <f t="shared" si="75"/>
        <v>678443</v>
      </c>
      <c r="AB47" s="35">
        <f t="shared" ref="AB47:AC47" si="76">AB44+AB45+AB46</f>
        <v>660402</v>
      </c>
      <c r="AC47" s="35">
        <f t="shared" si="76"/>
        <v>667666</v>
      </c>
      <c r="AD47" s="35">
        <f t="shared" ref="AD47:AE47" si="77">AD44+AD45+AD46</f>
        <v>755406</v>
      </c>
      <c r="AE47" s="35">
        <f t="shared" si="77"/>
        <v>555924</v>
      </c>
      <c r="AF47" s="35">
        <f t="shared" ref="AF47:AG47" si="78">AF44+AF45+AF46</f>
        <v>621837</v>
      </c>
      <c r="AG47" s="35">
        <f t="shared" si="78"/>
        <v>684877</v>
      </c>
      <c r="AH47" s="35">
        <f t="shared" ref="AH47:AI47" si="79">AH44+AH45+AH46</f>
        <v>691016</v>
      </c>
      <c r="AI47" s="35">
        <f t="shared" si="79"/>
        <v>583989</v>
      </c>
      <c r="AJ47" s="35">
        <f t="shared" ref="AJ47" si="80">AJ44+AJ45+AJ46</f>
        <v>711114</v>
      </c>
    </row>
    <row r="48" spans="1:37" x14ac:dyDescent="0.25">
      <c r="A48" s="22"/>
      <c r="B48" s="22"/>
      <c r="C48" s="22"/>
      <c r="D48" s="27"/>
      <c r="E48" s="27"/>
      <c r="F48" s="39"/>
      <c r="G48" s="39"/>
      <c r="H48" s="39"/>
      <c r="I48" s="39"/>
      <c r="J48" s="39"/>
      <c r="K48" s="39"/>
      <c r="L48" s="27"/>
      <c r="M48" s="27"/>
      <c r="N48" s="27"/>
      <c r="O48" s="27"/>
      <c r="P48" s="39"/>
      <c r="Q48" s="39"/>
      <c r="R48" s="39"/>
      <c r="S48" s="39"/>
      <c r="T48" s="47"/>
      <c r="U48" s="39"/>
      <c r="V48" s="39"/>
      <c r="W48" s="39"/>
      <c r="X48" s="47"/>
      <c r="Y48" s="39"/>
      <c r="Z48" s="39"/>
      <c r="AA48" s="47"/>
      <c r="AB48" s="39"/>
      <c r="AC48" s="39"/>
      <c r="AD48" s="39"/>
      <c r="AE48" s="39"/>
      <c r="AF48" s="39"/>
      <c r="AG48" s="39"/>
      <c r="AH48" s="39"/>
      <c r="AI48" s="27"/>
      <c r="AJ48" s="27"/>
    </row>
    <row r="49" spans="1:36" ht="15.75" x14ac:dyDescent="0.25">
      <c r="A49" s="7"/>
      <c r="B49" s="7" t="s">
        <v>64</v>
      </c>
      <c r="C49" s="7"/>
      <c r="D49" s="36" t="e">
        <f t="shared" ref="D49:E53" si="81">D24-C24</f>
        <v>#VALUE!</v>
      </c>
      <c r="E49" s="36">
        <f t="shared" si="81"/>
        <v>16295</v>
      </c>
      <c r="F49" s="36">
        <f t="shared" ref="F49:AJ49" si="82">F24-E24</f>
        <v>14102</v>
      </c>
      <c r="G49" s="36">
        <f t="shared" si="82"/>
        <v>10117</v>
      </c>
      <c r="H49" s="36">
        <f t="shared" si="82"/>
        <v>3303</v>
      </c>
      <c r="I49" s="36">
        <f t="shared" si="82"/>
        <v>13535</v>
      </c>
      <c r="J49" s="36">
        <f t="shared" si="82"/>
        <v>13643</v>
      </c>
      <c r="K49" s="36">
        <f t="shared" si="82"/>
        <v>15988</v>
      </c>
      <c r="L49" s="36">
        <f t="shared" si="82"/>
        <v>13852</v>
      </c>
      <c r="M49" s="36">
        <f t="shared" si="82"/>
        <v>16534</v>
      </c>
      <c r="N49" s="36">
        <f t="shared" si="82"/>
        <v>15231</v>
      </c>
      <c r="O49" s="36">
        <f t="shared" si="82"/>
        <v>4013</v>
      </c>
      <c r="P49" s="36">
        <f t="shared" si="82"/>
        <v>1889</v>
      </c>
      <c r="Q49" s="36">
        <f t="shared" si="82"/>
        <v>1721</v>
      </c>
      <c r="R49" s="36">
        <f t="shared" si="82"/>
        <v>2082</v>
      </c>
      <c r="S49" s="36">
        <f t="shared" si="82"/>
        <v>2454</v>
      </c>
      <c r="T49" s="55">
        <f t="shared" si="82"/>
        <v>9</v>
      </c>
      <c r="U49" s="36">
        <f t="shared" si="82"/>
        <v>2668</v>
      </c>
      <c r="V49" s="36">
        <f t="shared" si="82"/>
        <v>13406</v>
      </c>
      <c r="W49" s="36">
        <f t="shared" si="82"/>
        <v>16995</v>
      </c>
      <c r="X49" s="55">
        <f t="shared" si="82"/>
        <v>16160</v>
      </c>
      <c r="Y49" s="36">
        <f t="shared" si="82"/>
        <v>15271</v>
      </c>
      <c r="Z49" s="36">
        <f t="shared" si="82"/>
        <v>15426</v>
      </c>
      <c r="AA49" s="55">
        <f t="shared" si="82"/>
        <v>16250</v>
      </c>
      <c r="AB49" s="36">
        <f t="shared" si="82"/>
        <v>17332</v>
      </c>
      <c r="AC49" s="36">
        <f t="shared" si="82"/>
        <v>17810</v>
      </c>
      <c r="AD49" s="36">
        <f t="shared" si="82"/>
        <v>17010</v>
      </c>
      <c r="AE49" s="36">
        <f t="shared" si="82"/>
        <v>16466</v>
      </c>
      <c r="AF49" s="36">
        <f t="shared" si="82"/>
        <v>17042</v>
      </c>
      <c r="AG49" s="36">
        <f t="shared" si="82"/>
        <v>17837</v>
      </c>
      <c r="AH49" s="36">
        <f t="shared" si="82"/>
        <v>17023</v>
      </c>
      <c r="AI49" s="36">
        <f t="shared" si="82"/>
        <v>16607</v>
      </c>
      <c r="AJ49" s="36">
        <f t="shared" si="82"/>
        <v>15960</v>
      </c>
    </row>
    <row r="50" spans="1:36" ht="15.75" x14ac:dyDescent="0.25">
      <c r="A50" s="7"/>
      <c r="B50" s="7" t="s">
        <v>65</v>
      </c>
      <c r="C50" s="7"/>
      <c r="D50" s="36" t="e">
        <f t="shared" si="81"/>
        <v>#VALUE!</v>
      </c>
      <c r="E50" s="36">
        <f t="shared" si="81"/>
        <v>14958</v>
      </c>
      <c r="F50" s="36">
        <f t="shared" ref="F50:AJ50" si="83">F25-E25</f>
        <v>12619</v>
      </c>
      <c r="G50" s="36">
        <f t="shared" si="83"/>
        <v>16628</v>
      </c>
      <c r="H50" s="36">
        <f t="shared" si="83"/>
        <v>13354</v>
      </c>
      <c r="I50" s="36">
        <f t="shared" si="83"/>
        <v>10854</v>
      </c>
      <c r="J50" s="36">
        <f t="shared" si="83"/>
        <v>11918</v>
      </c>
      <c r="K50" s="36">
        <f t="shared" si="83"/>
        <v>16126</v>
      </c>
      <c r="L50" s="36">
        <f t="shared" si="83"/>
        <v>15326</v>
      </c>
      <c r="M50" s="36">
        <f t="shared" si="83"/>
        <v>15361</v>
      </c>
      <c r="N50" s="36">
        <f t="shared" si="83"/>
        <v>19933</v>
      </c>
      <c r="O50" s="36">
        <f t="shared" si="83"/>
        <v>16821</v>
      </c>
      <c r="P50" s="36">
        <f t="shared" si="83"/>
        <v>17937</v>
      </c>
      <c r="Q50" s="36">
        <f t="shared" si="83"/>
        <v>15774</v>
      </c>
      <c r="R50" s="36">
        <f t="shared" si="83"/>
        <v>14095</v>
      </c>
      <c r="S50" s="36">
        <f t="shared" si="83"/>
        <v>15777</v>
      </c>
      <c r="T50" s="55">
        <f t="shared" si="83"/>
        <v>17885</v>
      </c>
      <c r="U50" s="36">
        <f t="shared" si="83"/>
        <v>18811</v>
      </c>
      <c r="V50" s="36">
        <f t="shared" si="83"/>
        <v>16800</v>
      </c>
      <c r="W50" s="36">
        <f t="shared" si="83"/>
        <v>16784</v>
      </c>
      <c r="X50" s="55">
        <f t="shared" si="83"/>
        <v>17882</v>
      </c>
      <c r="Y50" s="36">
        <f t="shared" si="83"/>
        <v>16945</v>
      </c>
      <c r="Z50" s="36">
        <f t="shared" si="83"/>
        <v>17460</v>
      </c>
      <c r="AA50" s="55">
        <f t="shared" si="83"/>
        <v>17365</v>
      </c>
      <c r="AB50" s="36">
        <f t="shared" si="83"/>
        <v>17230</v>
      </c>
      <c r="AC50" s="36">
        <f t="shared" si="83"/>
        <v>13131</v>
      </c>
      <c r="AD50" s="36">
        <f t="shared" si="83"/>
        <v>10285</v>
      </c>
      <c r="AE50" s="36">
        <f t="shared" si="83"/>
        <v>15740</v>
      </c>
      <c r="AF50" s="36">
        <f t="shared" si="83"/>
        <v>16875</v>
      </c>
      <c r="AG50" s="36">
        <f t="shared" si="83"/>
        <v>13455</v>
      </c>
      <c r="AH50" s="36">
        <f t="shared" si="83"/>
        <v>17916</v>
      </c>
      <c r="AI50" s="36">
        <f t="shared" si="83"/>
        <v>14056</v>
      </c>
      <c r="AJ50" s="36">
        <f t="shared" si="83"/>
        <v>17165</v>
      </c>
    </row>
    <row r="51" spans="1:36" ht="15.75" x14ac:dyDescent="0.25">
      <c r="A51" s="7"/>
      <c r="B51" s="7" t="s">
        <v>66</v>
      </c>
      <c r="C51" s="7"/>
      <c r="D51" s="36" t="e">
        <f t="shared" si="81"/>
        <v>#VALUE!</v>
      </c>
      <c r="E51" s="36">
        <f t="shared" si="81"/>
        <v>0</v>
      </c>
      <c r="F51" s="36">
        <f t="shared" ref="F51:AJ51" si="84">F26-E26</f>
        <v>28</v>
      </c>
      <c r="G51" s="36">
        <f t="shared" si="84"/>
        <v>0</v>
      </c>
      <c r="H51" s="36">
        <f t="shared" si="84"/>
        <v>0</v>
      </c>
      <c r="I51" s="36">
        <f t="shared" si="84"/>
        <v>0</v>
      </c>
      <c r="J51" s="36">
        <f t="shared" si="84"/>
        <v>0</v>
      </c>
      <c r="K51" s="36">
        <f t="shared" si="84"/>
        <v>0</v>
      </c>
      <c r="L51" s="36">
        <f t="shared" si="84"/>
        <v>21</v>
      </c>
      <c r="M51" s="36">
        <f t="shared" si="84"/>
        <v>2197</v>
      </c>
      <c r="N51" s="36">
        <f t="shared" si="84"/>
        <v>4213</v>
      </c>
      <c r="O51" s="36">
        <f t="shared" si="84"/>
        <v>2779</v>
      </c>
      <c r="P51" s="36">
        <f t="shared" si="84"/>
        <v>3020</v>
      </c>
      <c r="Q51" s="36">
        <f t="shared" si="84"/>
        <v>3440</v>
      </c>
      <c r="R51" s="36">
        <f t="shared" si="84"/>
        <v>4176</v>
      </c>
      <c r="S51" s="36">
        <f t="shared" si="84"/>
        <v>5476</v>
      </c>
      <c r="T51" s="55">
        <f t="shared" si="84"/>
        <v>4275</v>
      </c>
      <c r="U51" s="36">
        <f t="shared" si="84"/>
        <v>344</v>
      </c>
      <c r="V51" s="36">
        <f t="shared" si="84"/>
        <v>4002</v>
      </c>
      <c r="W51" s="36">
        <f t="shared" si="84"/>
        <v>4254</v>
      </c>
      <c r="X51" s="55">
        <f t="shared" si="84"/>
        <v>4306</v>
      </c>
      <c r="Y51" s="36">
        <f t="shared" si="84"/>
        <v>3462</v>
      </c>
      <c r="Z51" s="36">
        <f t="shared" si="84"/>
        <v>3295</v>
      </c>
      <c r="AA51" s="55">
        <f t="shared" si="84"/>
        <v>3021</v>
      </c>
      <c r="AB51" s="36">
        <f t="shared" si="84"/>
        <v>4790</v>
      </c>
      <c r="AC51" s="36">
        <f t="shared" si="84"/>
        <v>4030</v>
      </c>
      <c r="AD51" s="36">
        <f t="shared" si="84"/>
        <v>2972</v>
      </c>
      <c r="AE51" s="36">
        <f t="shared" si="84"/>
        <v>3397</v>
      </c>
      <c r="AF51" s="36">
        <f t="shared" si="84"/>
        <v>3647</v>
      </c>
      <c r="AG51" s="36">
        <f t="shared" si="84"/>
        <v>3732</v>
      </c>
      <c r="AH51" s="36">
        <f t="shared" si="84"/>
        <v>3583</v>
      </c>
      <c r="AI51" s="36">
        <f t="shared" si="84"/>
        <v>3800</v>
      </c>
      <c r="AJ51" s="36">
        <f t="shared" si="84"/>
        <v>3894</v>
      </c>
    </row>
    <row r="52" spans="1:36" ht="15.75" x14ac:dyDescent="0.25">
      <c r="A52" s="7"/>
      <c r="B52" s="7" t="s">
        <v>67</v>
      </c>
      <c r="C52" s="7"/>
      <c r="D52" s="36" t="e">
        <f t="shared" si="81"/>
        <v>#VALUE!</v>
      </c>
      <c r="E52" s="36">
        <f t="shared" si="81"/>
        <v>60110</v>
      </c>
      <c r="F52" s="36">
        <f t="shared" ref="F52:AJ52" si="85">F27-E27</f>
        <v>60184</v>
      </c>
      <c r="G52" s="36">
        <f t="shared" si="85"/>
        <v>63477</v>
      </c>
      <c r="H52" s="36">
        <f t="shared" si="85"/>
        <v>38422</v>
      </c>
      <c r="I52" s="36">
        <f t="shared" si="85"/>
        <v>54928</v>
      </c>
      <c r="J52" s="36">
        <f t="shared" si="85"/>
        <v>59131</v>
      </c>
      <c r="K52" s="36">
        <f t="shared" si="85"/>
        <v>60740</v>
      </c>
      <c r="L52" s="36">
        <f t="shared" si="85"/>
        <v>58154</v>
      </c>
      <c r="M52" s="36">
        <f t="shared" si="85"/>
        <v>53363</v>
      </c>
      <c r="N52" s="36">
        <f t="shared" si="85"/>
        <v>55172</v>
      </c>
      <c r="O52" s="36">
        <f t="shared" si="85"/>
        <v>56415</v>
      </c>
      <c r="P52" s="36">
        <f t="shared" si="85"/>
        <v>62662</v>
      </c>
      <c r="Q52" s="36">
        <f t="shared" si="85"/>
        <v>46445</v>
      </c>
      <c r="R52" s="36">
        <f t="shared" si="85"/>
        <v>27122</v>
      </c>
      <c r="S52" s="36">
        <f t="shared" si="85"/>
        <v>30732</v>
      </c>
      <c r="T52" s="55">
        <f t="shared" si="85"/>
        <v>30361</v>
      </c>
      <c r="U52" s="36">
        <f t="shared" si="85"/>
        <v>42734</v>
      </c>
      <c r="V52" s="36">
        <f t="shared" si="85"/>
        <v>38196</v>
      </c>
      <c r="W52" s="36">
        <f t="shared" si="85"/>
        <v>47527</v>
      </c>
      <c r="X52" s="55">
        <f t="shared" si="85"/>
        <v>48725</v>
      </c>
      <c r="Y52" s="36">
        <f t="shared" si="85"/>
        <v>52541</v>
      </c>
      <c r="Z52" s="36">
        <f t="shared" si="85"/>
        <v>54137</v>
      </c>
      <c r="AA52" s="55">
        <f t="shared" si="85"/>
        <v>55270</v>
      </c>
      <c r="AB52" s="36">
        <f t="shared" si="85"/>
        <v>52147</v>
      </c>
      <c r="AC52" s="36">
        <f t="shared" si="85"/>
        <v>59584</v>
      </c>
      <c r="AD52" s="36">
        <f t="shared" si="85"/>
        <v>51601</v>
      </c>
      <c r="AE52" s="36">
        <f t="shared" si="85"/>
        <v>58402</v>
      </c>
      <c r="AF52" s="36">
        <f t="shared" si="85"/>
        <v>51785</v>
      </c>
      <c r="AG52" s="36">
        <f t="shared" si="85"/>
        <v>47991</v>
      </c>
      <c r="AH52" s="36">
        <f t="shared" si="85"/>
        <v>49426</v>
      </c>
      <c r="AI52" s="36">
        <f t="shared" si="85"/>
        <v>52545</v>
      </c>
      <c r="AJ52" s="36">
        <f t="shared" si="85"/>
        <v>55068</v>
      </c>
    </row>
    <row r="53" spans="1:36" ht="15.75" x14ac:dyDescent="0.25">
      <c r="A53" s="7"/>
      <c r="B53" s="7" t="s">
        <v>68</v>
      </c>
      <c r="C53" s="7"/>
      <c r="D53" s="36" t="e">
        <f t="shared" si="81"/>
        <v>#VALUE!</v>
      </c>
      <c r="E53" s="36">
        <f t="shared" si="81"/>
        <v>4166</v>
      </c>
      <c r="F53" s="36">
        <f t="shared" ref="F53:AJ53" si="86">F28-E28</f>
        <v>4176</v>
      </c>
      <c r="G53" s="36">
        <f t="shared" si="86"/>
        <v>4319</v>
      </c>
      <c r="H53" s="36">
        <f t="shared" si="86"/>
        <v>2773</v>
      </c>
      <c r="I53" s="36">
        <f t="shared" si="86"/>
        <v>3944</v>
      </c>
      <c r="J53" s="36">
        <f t="shared" si="86"/>
        <v>4114</v>
      </c>
      <c r="K53" s="36">
        <f t="shared" si="86"/>
        <v>4228</v>
      </c>
      <c r="L53" s="36">
        <f t="shared" si="86"/>
        <v>4406</v>
      </c>
      <c r="M53" s="36">
        <f t="shared" si="86"/>
        <v>4083</v>
      </c>
      <c r="N53" s="36">
        <f t="shared" si="86"/>
        <v>4197</v>
      </c>
      <c r="O53" s="36">
        <f t="shared" si="86"/>
        <v>4125</v>
      </c>
      <c r="P53" s="36">
        <f t="shared" si="86"/>
        <v>4609</v>
      </c>
      <c r="Q53" s="36">
        <f t="shared" si="86"/>
        <v>3404</v>
      </c>
      <c r="R53" s="36">
        <f t="shared" si="86"/>
        <v>2561</v>
      </c>
      <c r="S53" s="36">
        <f t="shared" si="86"/>
        <v>2865</v>
      </c>
      <c r="T53" s="55">
        <f t="shared" si="86"/>
        <v>2885</v>
      </c>
      <c r="U53" s="36">
        <f t="shared" si="86"/>
        <v>3407</v>
      </c>
      <c r="V53" s="36">
        <f t="shared" si="86"/>
        <v>3198</v>
      </c>
      <c r="W53" s="36">
        <f t="shared" si="86"/>
        <v>3857</v>
      </c>
      <c r="X53" s="55">
        <f t="shared" si="86"/>
        <v>3899</v>
      </c>
      <c r="Y53" s="36">
        <f t="shared" si="86"/>
        <v>4131</v>
      </c>
      <c r="Z53" s="36">
        <f t="shared" si="86"/>
        <v>3870</v>
      </c>
      <c r="AA53" s="55">
        <f t="shared" si="86"/>
        <v>4035</v>
      </c>
      <c r="AB53" s="36">
        <f t="shared" si="86"/>
        <v>3912</v>
      </c>
      <c r="AC53" s="36">
        <f t="shared" si="86"/>
        <v>4305</v>
      </c>
      <c r="AD53" s="36">
        <f t="shared" si="86"/>
        <v>3984</v>
      </c>
      <c r="AE53" s="36">
        <f t="shared" si="86"/>
        <v>4180</v>
      </c>
      <c r="AF53" s="36">
        <f t="shared" si="86"/>
        <v>3890</v>
      </c>
      <c r="AG53" s="36">
        <f t="shared" si="86"/>
        <v>3974</v>
      </c>
      <c r="AH53" s="36">
        <f t="shared" si="86"/>
        <v>3977</v>
      </c>
      <c r="AI53" s="36">
        <f t="shared" si="86"/>
        <v>4089</v>
      </c>
      <c r="AJ53" s="36">
        <f t="shared" si="86"/>
        <v>4165</v>
      </c>
    </row>
    <row r="54" spans="1:36" ht="18.75" x14ac:dyDescent="0.25">
      <c r="A54" s="17" t="s">
        <v>69</v>
      </c>
      <c r="B54" s="23" t="s">
        <v>70</v>
      </c>
      <c r="C54" s="23"/>
      <c r="D54" s="37" t="e">
        <f t="shared" ref="D54:J54" si="87">SUM(D49:D53)</f>
        <v>#VALUE!</v>
      </c>
      <c r="E54" s="37">
        <f t="shared" si="87"/>
        <v>95529</v>
      </c>
      <c r="F54" s="37">
        <f t="shared" si="87"/>
        <v>91109</v>
      </c>
      <c r="G54" s="37">
        <f t="shared" si="87"/>
        <v>94541</v>
      </c>
      <c r="H54" s="37">
        <f t="shared" si="87"/>
        <v>57852</v>
      </c>
      <c r="I54" s="37">
        <f t="shared" si="87"/>
        <v>83261</v>
      </c>
      <c r="J54" s="37">
        <f t="shared" si="87"/>
        <v>88806</v>
      </c>
      <c r="K54" s="37">
        <f t="shared" ref="K54:L54" si="88">SUM(K49:K53)</f>
        <v>97082</v>
      </c>
      <c r="L54" s="37">
        <f t="shared" si="88"/>
        <v>91759</v>
      </c>
      <c r="M54" s="37">
        <f t="shared" ref="M54" si="89">SUM(M49:M53)</f>
        <v>91538</v>
      </c>
      <c r="N54" s="37">
        <f t="shared" ref="N54:O54" si="90">SUM(N49:N53)</f>
        <v>98746</v>
      </c>
      <c r="O54" s="37">
        <f t="shared" si="90"/>
        <v>84153</v>
      </c>
      <c r="P54" s="37">
        <f t="shared" ref="P54:Q54" si="91">SUM(P49:P53)</f>
        <v>90117</v>
      </c>
      <c r="Q54" s="37">
        <f t="shared" si="91"/>
        <v>70784</v>
      </c>
      <c r="R54" s="37">
        <f t="shared" ref="R54:S54" si="92">SUM(R49:R53)</f>
        <v>50036</v>
      </c>
      <c r="S54" s="37">
        <f t="shared" si="92"/>
        <v>57304</v>
      </c>
      <c r="T54" s="56">
        <f t="shared" ref="T54:U54" si="93">SUM(T49:T53)</f>
        <v>55415</v>
      </c>
      <c r="U54" s="37">
        <f t="shared" si="93"/>
        <v>67964</v>
      </c>
      <c r="V54" s="37">
        <f t="shared" ref="V54:W54" si="94">SUM(V49:V53)</f>
        <v>75602</v>
      </c>
      <c r="W54" s="37">
        <f t="shared" si="94"/>
        <v>89417</v>
      </c>
      <c r="X54" s="56">
        <f t="shared" ref="X54:Y54" si="95">SUM(X49:X53)</f>
        <v>90972</v>
      </c>
      <c r="Y54" s="37">
        <f t="shared" si="95"/>
        <v>92350</v>
      </c>
      <c r="Z54" s="37">
        <f t="shared" ref="Z54:AA54" si="96">SUM(Z49:Z53)</f>
        <v>94188</v>
      </c>
      <c r="AA54" s="56">
        <f t="shared" si="96"/>
        <v>95941</v>
      </c>
      <c r="AB54" s="37">
        <f t="shared" ref="AB54:AC54" si="97">SUM(AB49:AB53)</f>
        <v>95411</v>
      </c>
      <c r="AC54" s="37">
        <f t="shared" si="97"/>
        <v>98860</v>
      </c>
      <c r="AD54" s="37">
        <f t="shared" ref="AD54:AE54" si="98">SUM(AD49:AD53)</f>
        <v>85852</v>
      </c>
      <c r="AE54" s="37">
        <f t="shared" si="98"/>
        <v>98185</v>
      </c>
      <c r="AF54" s="37">
        <f t="shared" ref="AF54:AG54" si="99">SUM(AF49:AF53)</f>
        <v>93239</v>
      </c>
      <c r="AG54" s="37">
        <f t="shared" si="99"/>
        <v>86989</v>
      </c>
      <c r="AH54" s="37">
        <f t="shared" ref="AH54:AI54" si="100">SUM(AH49:AH53)</f>
        <v>91925</v>
      </c>
      <c r="AI54" s="37">
        <f t="shared" si="100"/>
        <v>91097</v>
      </c>
      <c r="AJ54" s="37">
        <f t="shared" ref="AJ54" si="101">SUM(AJ49:AJ53)</f>
        <v>96252</v>
      </c>
    </row>
    <row r="55" spans="1:36" ht="18.75" x14ac:dyDescent="0.25">
      <c r="A55" s="10"/>
      <c r="B55" s="17" t="s">
        <v>71</v>
      </c>
      <c r="C55" s="17"/>
      <c r="D55" s="28">
        <v>33</v>
      </c>
      <c r="E55" s="28">
        <v>37</v>
      </c>
      <c r="F55" s="28">
        <v>28</v>
      </c>
      <c r="G55" s="39">
        <v>33</v>
      </c>
      <c r="H55" s="39">
        <v>15</v>
      </c>
      <c r="I55" s="39">
        <v>29</v>
      </c>
      <c r="J55" s="41">
        <v>28</v>
      </c>
      <c r="K55" s="39">
        <v>41</v>
      </c>
      <c r="L55" s="39">
        <v>32</v>
      </c>
      <c r="M55" s="41">
        <v>29</v>
      </c>
      <c r="N55" s="8">
        <v>30</v>
      </c>
      <c r="O55" s="8">
        <v>26</v>
      </c>
      <c r="P55" s="39">
        <v>29</v>
      </c>
      <c r="Q55" s="41">
        <v>25</v>
      </c>
      <c r="R55" s="41">
        <v>18</v>
      </c>
      <c r="S55" s="41">
        <v>18</v>
      </c>
      <c r="T55" s="44">
        <v>28</v>
      </c>
      <c r="U55" s="41">
        <v>28</v>
      </c>
      <c r="V55" s="41">
        <v>37</v>
      </c>
      <c r="W55" s="41">
        <v>41</v>
      </c>
      <c r="X55" s="44">
        <v>44</v>
      </c>
      <c r="Y55" s="41">
        <v>42</v>
      </c>
      <c r="Z55" s="41">
        <v>44</v>
      </c>
      <c r="AA55" s="44">
        <v>43</v>
      </c>
      <c r="AB55" s="41">
        <v>45</v>
      </c>
      <c r="AC55" s="41">
        <v>35</v>
      </c>
      <c r="AD55" s="41">
        <v>38</v>
      </c>
      <c r="AE55" s="39">
        <v>43</v>
      </c>
      <c r="AF55" s="41">
        <v>44</v>
      </c>
      <c r="AG55" s="41">
        <v>38</v>
      </c>
      <c r="AH55" s="41">
        <v>43</v>
      </c>
      <c r="AI55" s="41">
        <v>37</v>
      </c>
      <c r="AJ55" s="41">
        <v>42</v>
      </c>
    </row>
    <row r="56" spans="1:36" ht="18.75" x14ac:dyDescent="0.25">
      <c r="A56" s="10"/>
      <c r="B56" s="17" t="s">
        <v>72</v>
      </c>
      <c r="C56" s="17"/>
      <c r="D56" s="28">
        <v>34</v>
      </c>
      <c r="E56" s="28">
        <v>36</v>
      </c>
      <c r="F56" s="28">
        <v>30</v>
      </c>
      <c r="G56" s="39">
        <v>33</v>
      </c>
      <c r="H56" s="39">
        <v>17</v>
      </c>
      <c r="I56" s="39">
        <v>27</v>
      </c>
      <c r="J56" s="41">
        <v>28</v>
      </c>
      <c r="K56" s="39">
        <v>38</v>
      </c>
      <c r="L56" s="39">
        <v>32</v>
      </c>
      <c r="M56" s="41">
        <v>33</v>
      </c>
      <c r="N56" s="8">
        <v>28</v>
      </c>
      <c r="O56" s="8">
        <v>26</v>
      </c>
      <c r="P56" s="39">
        <v>29</v>
      </c>
      <c r="Q56" s="41">
        <v>26</v>
      </c>
      <c r="R56" s="41">
        <v>19</v>
      </c>
      <c r="S56" s="41">
        <v>19</v>
      </c>
      <c r="T56" s="44">
        <v>24</v>
      </c>
      <c r="U56" s="41">
        <v>30</v>
      </c>
      <c r="V56" s="41">
        <v>34</v>
      </c>
      <c r="W56" s="41">
        <v>42</v>
      </c>
      <c r="X56" s="44">
        <v>44</v>
      </c>
      <c r="Y56" s="41">
        <v>41</v>
      </c>
      <c r="Z56" s="41">
        <v>44</v>
      </c>
      <c r="AA56" s="44">
        <v>43</v>
      </c>
      <c r="AB56" s="41">
        <v>45</v>
      </c>
      <c r="AC56" s="41">
        <v>37</v>
      </c>
      <c r="AD56" s="41">
        <v>36</v>
      </c>
      <c r="AE56" s="39">
        <v>42</v>
      </c>
      <c r="AF56" s="41">
        <v>44</v>
      </c>
      <c r="AG56" s="41">
        <v>38</v>
      </c>
      <c r="AH56" s="41">
        <v>42</v>
      </c>
      <c r="AI56" s="41">
        <v>40</v>
      </c>
      <c r="AJ56" s="41">
        <v>39</v>
      </c>
    </row>
    <row r="57" spans="1:36" x14ac:dyDescent="0.25">
      <c r="A57" s="10"/>
      <c r="B57" s="24"/>
      <c r="C57" s="25"/>
      <c r="D57" s="27"/>
      <c r="E57" s="27"/>
      <c r="F57" s="39"/>
      <c r="G57" s="39"/>
      <c r="H57" s="39"/>
      <c r="I57" s="39"/>
      <c r="J57" s="27"/>
      <c r="K57" s="27"/>
      <c r="L57" s="27"/>
      <c r="M57" s="27"/>
      <c r="N57" s="27"/>
      <c r="O57" s="27"/>
      <c r="P57" s="39"/>
      <c r="Q57" s="39"/>
      <c r="R57" s="27"/>
      <c r="S57" s="27"/>
      <c r="T57" s="46"/>
      <c r="U57" s="27"/>
      <c r="V57" s="27"/>
      <c r="W57" s="27"/>
      <c r="X57" s="46"/>
      <c r="Y57" s="27"/>
      <c r="Z57" s="27"/>
      <c r="AA57" s="46"/>
      <c r="AB57" s="27"/>
      <c r="AC57" s="27"/>
      <c r="AD57" s="27"/>
      <c r="AE57" s="27"/>
      <c r="AF57" s="27"/>
      <c r="AG57" s="27"/>
      <c r="AH57" s="27"/>
      <c r="AI57" s="27"/>
      <c r="AJ57" s="27"/>
    </row>
    <row r="58" spans="1:36" x14ac:dyDescent="0.25">
      <c r="A58" s="10"/>
      <c r="B58" s="22" t="s">
        <v>73</v>
      </c>
      <c r="C58" s="22"/>
      <c r="D58" s="38" t="e">
        <f t="shared" ref="D58:I58" si="102">D44/(D56*347)</f>
        <v>#VALUE!</v>
      </c>
      <c r="E58" s="38">
        <f t="shared" si="102"/>
        <v>9.9802553634325974</v>
      </c>
      <c r="F58" s="38">
        <f t="shared" si="102"/>
        <v>11.056637848222863</v>
      </c>
      <c r="G58" s="38">
        <f t="shared" si="102"/>
        <v>11.615745349751116</v>
      </c>
      <c r="H58" s="38">
        <f t="shared" si="102"/>
        <v>16.295973893880319</v>
      </c>
      <c r="I58" s="38">
        <f t="shared" si="102"/>
        <v>7.4860657487458635</v>
      </c>
      <c r="J58" s="38">
        <f t="shared" ref="J58:K58" si="103">J44/(J56*347)</f>
        <v>7.2728694936187726</v>
      </c>
      <c r="K58" s="38">
        <f t="shared" si="103"/>
        <v>5.9754474442590624</v>
      </c>
      <c r="L58" s="38">
        <f t="shared" ref="L58" si="104">L44/(L56*347)</f>
        <v>7.1023144812680119</v>
      </c>
      <c r="M58" s="38">
        <f t="shared" ref="M58:R58" si="105">M44/(M56*347)</f>
        <v>5.6745175093878268</v>
      </c>
      <c r="N58" s="38">
        <f t="shared" si="105"/>
        <v>7.0645944833264727</v>
      </c>
      <c r="O58" s="38">
        <f t="shared" si="105"/>
        <v>7.3692363112391934</v>
      </c>
      <c r="P58" s="38">
        <f t="shared" si="105"/>
        <v>7.0774719268607775</v>
      </c>
      <c r="Q58" s="38">
        <f t="shared" si="105"/>
        <v>7.1299600975393487</v>
      </c>
      <c r="R58" s="38">
        <f t="shared" si="105"/>
        <v>9.1531017746094339</v>
      </c>
      <c r="S58" s="38">
        <f t="shared" ref="S58:T58" si="106">S44/(S56*347)</f>
        <v>10.222197785530108</v>
      </c>
      <c r="T58" s="57">
        <f t="shared" si="106"/>
        <v>8.8490333813640731</v>
      </c>
      <c r="U58" s="38">
        <f t="shared" ref="U58:V58" si="107">U44/(U56*347)</f>
        <v>6.3488664745437076</v>
      </c>
      <c r="V58" s="38">
        <f t="shared" si="107"/>
        <v>5.8346626546872358</v>
      </c>
      <c r="W58" s="38">
        <f t="shared" ref="W58:X58" si="108">W44/(W56*347)</f>
        <v>4.7338616714697412</v>
      </c>
      <c r="X58" s="57">
        <f t="shared" si="108"/>
        <v>4.5256909876866649</v>
      </c>
      <c r="Y58" s="57">
        <f t="shared" ref="Y58:Z58" si="109">Y44/(Y56*347)</f>
        <v>5.5432838968159137</v>
      </c>
      <c r="Z58" s="38">
        <f t="shared" si="109"/>
        <v>4.6680868483101916</v>
      </c>
      <c r="AA58" s="57">
        <f t="shared" ref="AA58:AB58" si="110">AA44/(AA56*347)</f>
        <v>4.6233831512633206</v>
      </c>
      <c r="AB58" s="38">
        <f t="shared" si="110"/>
        <v>4.5995965417867435</v>
      </c>
      <c r="AC58" s="38">
        <f t="shared" ref="AC58:AD58" si="111">AC44/(AC56*347)</f>
        <v>5.2268556741179228</v>
      </c>
      <c r="AD58" s="38">
        <f t="shared" si="111"/>
        <v>5.362327889849503</v>
      </c>
      <c r="AE58" s="38">
        <f t="shared" ref="AE58" si="112">AE44/(AE56*347)</f>
        <v>4.6670577741182928</v>
      </c>
      <c r="AF58" s="38">
        <f t="shared" ref="AF58:AG58" si="113">AF44/(AF56*347)</f>
        <v>4.629935158501441</v>
      </c>
      <c r="AG58" s="38">
        <f t="shared" si="113"/>
        <v>5.4416957379038369</v>
      </c>
      <c r="AH58" s="38">
        <f t="shared" ref="AH58:AI58" si="114">AH44/(AH56*347)</f>
        <v>4.8691882804995199</v>
      </c>
      <c r="AI58" s="38">
        <f t="shared" si="114"/>
        <v>4.5606412103746399</v>
      </c>
      <c r="AJ58" s="38">
        <f t="shared" ref="AJ58" si="115">AJ44/(AJ56*347)</f>
        <v>4.7754082612872235</v>
      </c>
    </row>
    <row r="59" spans="1:36" x14ac:dyDescent="0.25">
      <c r="A59" s="10"/>
      <c r="B59" s="22" t="s">
        <v>74</v>
      </c>
      <c r="C59" s="22"/>
      <c r="D59" s="38" t="e">
        <f t="shared" ref="D59:I59" si="116">D45/(D55*347)</f>
        <v>#VALUE!</v>
      </c>
      <c r="E59" s="38">
        <f t="shared" si="116"/>
        <v>23.477580029597323</v>
      </c>
      <c r="F59" s="38">
        <f t="shared" si="116"/>
        <v>30.071469740634008</v>
      </c>
      <c r="G59" s="38">
        <f t="shared" si="116"/>
        <v>26.663793555148018</v>
      </c>
      <c r="H59" s="38">
        <f t="shared" si="116"/>
        <v>37.859183477425553</v>
      </c>
      <c r="I59" s="38">
        <f t="shared" si="116"/>
        <v>34.315517241379311</v>
      </c>
      <c r="J59" s="38">
        <f t="shared" ref="J59:K59" si="117">J45/(J55*347)</f>
        <v>37.473219431864962</v>
      </c>
      <c r="K59" s="38">
        <f t="shared" si="117"/>
        <v>27.400277641104942</v>
      </c>
      <c r="L59" s="38">
        <f t="shared" ref="L59:M59" si="118">L45/(L55*347)</f>
        <v>33.606889409221907</v>
      </c>
      <c r="M59" s="38">
        <f t="shared" si="118"/>
        <v>35.571608864155813</v>
      </c>
      <c r="N59" s="38">
        <f t="shared" ref="N59:O59" si="119">N45/(N55*347)</f>
        <v>38.988991354466862</v>
      </c>
      <c r="O59" s="38">
        <f t="shared" si="119"/>
        <v>37.058717579250718</v>
      </c>
      <c r="P59" s="38">
        <f t="shared" ref="P59:Q59" si="120">P45/(P55*347)</f>
        <v>33.473059723740441</v>
      </c>
      <c r="Q59" s="38">
        <f t="shared" si="120"/>
        <v>19.891008645533141</v>
      </c>
      <c r="R59" s="38">
        <f t="shared" ref="R59:S59" si="121">R45/(R55*347)</f>
        <v>56.717034902337495</v>
      </c>
      <c r="S59" s="38">
        <f t="shared" si="121"/>
        <v>43.699975984630164</v>
      </c>
      <c r="T59" s="57">
        <f t="shared" ref="T59:U59" si="122">T45/(T55*347)</f>
        <v>29.298502470152325</v>
      </c>
      <c r="U59" s="38">
        <f t="shared" si="122"/>
        <v>30.665428159736514</v>
      </c>
      <c r="V59" s="38">
        <f t="shared" ref="V59:W59" si="123">V45/(V55*347)</f>
        <v>27.301553859334842</v>
      </c>
      <c r="W59" s="38">
        <f t="shared" si="123"/>
        <v>25.985499402544459</v>
      </c>
      <c r="X59" s="57">
        <f t="shared" ref="X59:Y59" si="124">X45/(X55*347)</f>
        <v>24.051922321194656</v>
      </c>
      <c r="Y59" s="57">
        <f t="shared" si="124"/>
        <v>25.759688486345549</v>
      </c>
      <c r="Z59" s="38">
        <f t="shared" ref="Z59:AA59" si="125">Z45/(Z55*347)</f>
        <v>24.317307440398221</v>
      </c>
      <c r="AA59" s="57">
        <f t="shared" si="125"/>
        <v>24.607231418805711</v>
      </c>
      <c r="AB59" s="38">
        <f t="shared" ref="AB59:AC59" si="126">AB45/(AB55*347)</f>
        <v>22.99566442523215</v>
      </c>
      <c r="AC59" s="38">
        <f t="shared" si="126"/>
        <v>30.169897076986416</v>
      </c>
      <c r="AD59" s="38">
        <f t="shared" ref="AD59:AE59" si="127">AD45/(AD55*347)</f>
        <v>26.853617473077506</v>
      </c>
      <c r="AE59" s="38">
        <f t="shared" si="127"/>
        <v>24.211198981301521</v>
      </c>
      <c r="AF59" s="38">
        <f t="shared" ref="AF59:AG59" si="128">AF45/(AF55*347)</f>
        <v>24.668270238407128</v>
      </c>
      <c r="AG59" s="38">
        <f t="shared" si="128"/>
        <v>27.448111633550734</v>
      </c>
      <c r="AH59" s="38">
        <f t="shared" ref="AH59:AI59" si="129">AH45/(AH55*347)</f>
        <v>25.054919241337714</v>
      </c>
      <c r="AI59" s="38">
        <f t="shared" si="129"/>
        <v>27.017314432588208</v>
      </c>
      <c r="AJ59" s="38">
        <f t="shared" ref="AJ59" si="130">AJ45/(AJ55*347)</f>
        <v>26.040579113489777</v>
      </c>
    </row>
    <row r="60" spans="1:36" x14ac:dyDescent="0.25">
      <c r="A60" s="10"/>
      <c r="B60" s="22" t="s">
        <v>75</v>
      </c>
      <c r="C60" s="22"/>
      <c r="D60" s="38" t="e">
        <f t="shared" ref="D60:I60" si="131">D46/(D55*347)</f>
        <v>#VALUE!</v>
      </c>
      <c r="E60" s="38">
        <f t="shared" si="131"/>
        <v>17.320663603084352</v>
      </c>
      <c r="F60" s="38">
        <f t="shared" si="131"/>
        <v>20.926615891313297</v>
      </c>
      <c r="G60" s="38">
        <f t="shared" si="131"/>
        <v>15.536896340930923</v>
      </c>
      <c r="H60" s="38">
        <f t="shared" si="131"/>
        <v>17.19308357348703</v>
      </c>
      <c r="I60" s="38">
        <f t="shared" si="131"/>
        <v>16.643744410215643</v>
      </c>
      <c r="J60" s="38">
        <f t="shared" ref="J60:K60" si="132">J46/(J55*347)</f>
        <v>23.591807328118566</v>
      </c>
      <c r="K60" s="38">
        <f t="shared" si="132"/>
        <v>17.052435509945877</v>
      </c>
      <c r="L60" s="38">
        <f t="shared" ref="L60:M60" si="133">L46/(L55*347)</f>
        <v>16.165525936599423</v>
      </c>
      <c r="M60" s="38">
        <f t="shared" si="133"/>
        <v>21.173805028321574</v>
      </c>
      <c r="N60" s="38">
        <f t="shared" ref="N60:O60" si="134">N46/(N55*347)</f>
        <v>20.073871277617677</v>
      </c>
      <c r="O60" s="38">
        <f t="shared" si="134"/>
        <v>23.514076701396586</v>
      </c>
      <c r="P60" s="38">
        <f t="shared" ref="P60:Q60" si="135">P46/(P55*347)</f>
        <v>25.116267514657658</v>
      </c>
      <c r="Q60" s="38">
        <f t="shared" si="135"/>
        <v>23.898213256484151</v>
      </c>
      <c r="R60" s="38">
        <f t="shared" ref="R60:S60" si="136">R46/(R55*347)</f>
        <v>23.503842459173871</v>
      </c>
      <c r="S60" s="38">
        <f t="shared" si="136"/>
        <v>28.213736791546591</v>
      </c>
      <c r="T60" s="57">
        <f t="shared" ref="T60:U60" si="137">T46/(T55*347)</f>
        <v>23.979724166323589</v>
      </c>
      <c r="U60" s="38">
        <f t="shared" si="137"/>
        <v>22.478489090160561</v>
      </c>
      <c r="V60" s="38">
        <f t="shared" ref="V60:W60" si="138">V46/(V55*347)</f>
        <v>18.221356803489368</v>
      </c>
      <c r="W60" s="38">
        <f t="shared" si="138"/>
        <v>12.980670555985098</v>
      </c>
      <c r="X60" s="57">
        <f t="shared" ref="X60:Y60" si="139">X46/(X55*347)</f>
        <v>16.816413413675662</v>
      </c>
      <c r="Y60" s="57">
        <f t="shared" si="139"/>
        <v>14.5515987374777</v>
      </c>
      <c r="Z60" s="38">
        <f t="shared" ref="Z60:AA60" si="140">Z46/(Z55*347)</f>
        <v>22.023578726748756</v>
      </c>
      <c r="AA60" s="57">
        <f t="shared" si="140"/>
        <v>16.238388847932445</v>
      </c>
      <c r="AB60" s="38">
        <f t="shared" ref="AB60:AC60" si="141">AB46/(AB55*347)</f>
        <v>14.697534422030099</v>
      </c>
      <c r="AC60" s="38">
        <f t="shared" si="141"/>
        <v>19.279127212844791</v>
      </c>
      <c r="AD60" s="38">
        <f t="shared" ref="AD60:AE60" si="142">AD46/(AD55*347)</f>
        <v>25.354770210829667</v>
      </c>
      <c r="AE60" s="38">
        <f t="shared" si="142"/>
        <v>8.4881040144762423</v>
      </c>
      <c r="AF60" s="38">
        <f t="shared" ref="AF60:AG60" si="143">AF46/(AF55*347)</f>
        <v>11.429918784385643</v>
      </c>
      <c r="AG60" s="38">
        <f t="shared" si="143"/>
        <v>19.049901410586987</v>
      </c>
      <c r="AH60" s="38">
        <f t="shared" ref="AH60:AI60" si="144">AH46/(AH55*347)</f>
        <v>16.500770725822665</v>
      </c>
      <c r="AI60" s="38">
        <f t="shared" si="144"/>
        <v>13.537814471532052</v>
      </c>
      <c r="AJ60" s="38">
        <f t="shared" ref="AJ60" si="145">AJ46/(AJ55*347)</f>
        <v>18.318443804034583</v>
      </c>
    </row>
    <row r="61" spans="1:36" x14ac:dyDescent="0.25">
      <c r="A61" s="10"/>
      <c r="B61" s="22" t="s">
        <v>76</v>
      </c>
      <c r="C61" s="22"/>
      <c r="D61" s="38" t="e">
        <f t="shared" ref="D61:J61" si="146">SUM(D58:D60)</f>
        <v>#VALUE!</v>
      </c>
      <c r="E61" s="38">
        <f t="shared" si="146"/>
        <v>50.77849899611428</v>
      </c>
      <c r="F61" s="38">
        <f t="shared" si="146"/>
        <v>62.054723480170168</v>
      </c>
      <c r="G61" s="38">
        <f t="shared" si="146"/>
        <v>53.816435245830057</v>
      </c>
      <c r="H61" s="38">
        <f t="shared" si="146"/>
        <v>71.348240944792906</v>
      </c>
      <c r="I61" s="38">
        <f t="shared" si="146"/>
        <v>58.445327400340815</v>
      </c>
      <c r="J61" s="38">
        <f t="shared" si="146"/>
        <v>68.337896253602295</v>
      </c>
      <c r="K61" s="38">
        <f t="shared" ref="K61:L61" si="147">SUM(K58:K60)</f>
        <v>50.428160595309876</v>
      </c>
      <c r="L61" s="38">
        <f t="shared" si="147"/>
        <v>56.87472982708934</v>
      </c>
      <c r="M61" s="38">
        <f t="shared" ref="M61:N61" si="148">SUM(M58:M60)</f>
        <v>62.419931401865213</v>
      </c>
      <c r="N61" s="38">
        <f t="shared" si="148"/>
        <v>66.127457115411005</v>
      </c>
      <c r="O61" s="38">
        <f t="shared" ref="O61:P61" si="149">SUM(O58:O60)</f>
        <v>67.942030591886493</v>
      </c>
      <c r="P61" s="38">
        <f t="shared" si="149"/>
        <v>65.66679916525888</v>
      </c>
      <c r="Q61" s="38">
        <f t="shared" ref="Q61:R61" si="150">SUM(Q58:Q60)</f>
        <v>50.919181999556642</v>
      </c>
      <c r="R61" s="38">
        <f t="shared" si="150"/>
        <v>89.373979136120795</v>
      </c>
      <c r="S61" s="38">
        <f t="shared" ref="S61:T61" si="151">SUM(S58:S60)</f>
        <v>82.135910561706865</v>
      </c>
      <c r="T61" s="57">
        <f t="shared" si="151"/>
        <v>62.127260017839987</v>
      </c>
      <c r="U61" s="38">
        <f t="shared" ref="U61:V61" si="152">SUM(U58:U60)</f>
        <v>59.492783724440784</v>
      </c>
      <c r="V61" s="38">
        <f t="shared" si="152"/>
        <v>51.357573317511452</v>
      </c>
      <c r="W61" s="38">
        <f t="shared" ref="W61:X61" si="153">SUM(W58:W60)</f>
        <v>43.700031629999302</v>
      </c>
      <c r="X61" s="57">
        <f t="shared" si="153"/>
        <v>45.394026722556987</v>
      </c>
      <c r="Y61" s="57">
        <f t="shared" ref="Y61:Z61" si="154">SUM(Y58:Y60)</f>
        <v>45.854571120639164</v>
      </c>
      <c r="Z61" s="38">
        <f t="shared" si="154"/>
        <v>51.008973015457173</v>
      </c>
      <c r="AA61" s="57">
        <f t="shared" ref="AA61:AB61" si="155">SUM(AA58:AA60)</f>
        <v>45.469003418001478</v>
      </c>
      <c r="AB61" s="38">
        <f t="shared" si="155"/>
        <v>42.29279538904899</v>
      </c>
      <c r="AC61" s="38">
        <f t="shared" ref="AC61:AD61" si="156">SUM(AC58:AC60)</f>
        <v>54.675879963949129</v>
      </c>
      <c r="AD61" s="38">
        <f t="shared" si="156"/>
        <v>57.570715573756672</v>
      </c>
      <c r="AE61" s="38">
        <f t="shared" ref="AE61" si="157">SUM(AE58:AE60)</f>
        <v>37.366360769896055</v>
      </c>
      <c r="AF61" s="38">
        <f t="shared" ref="AF61:AG61" si="158">SUM(AF58:AF60)</f>
        <v>40.728124181294213</v>
      </c>
      <c r="AG61" s="38">
        <f t="shared" si="158"/>
        <v>51.939708782041563</v>
      </c>
      <c r="AH61" s="38">
        <f t="shared" ref="AH61:AI61" si="159">SUM(AH58:AH60)</f>
        <v>46.424878247659905</v>
      </c>
      <c r="AI61" s="38">
        <f t="shared" si="159"/>
        <v>45.1157701144949</v>
      </c>
      <c r="AJ61" s="38">
        <f t="shared" ref="AJ61" si="160">SUM(AJ58:AJ60)</f>
        <v>49.134431178811582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1"/>
  <sheetViews>
    <sheetView topLeftCell="B1" zoomScale="90" zoomScaleNormal="90" workbookViewId="0">
      <pane xSplit="3" topLeftCell="T1" activePane="topRight" state="frozen"/>
      <selection activeCell="B1" sqref="B1"/>
      <selection pane="topRight" activeCell="AG1" sqref="AG1"/>
    </sheetView>
  </sheetViews>
  <sheetFormatPr defaultRowHeight="15" x14ac:dyDescent="0.25"/>
  <cols>
    <col min="1" max="1" width="11" customWidth="1"/>
    <col min="2" max="2" width="48" customWidth="1"/>
    <col min="3" max="3" width="34" customWidth="1"/>
    <col min="4" max="4" width="0.5703125" hidden="1" customWidth="1"/>
    <col min="5" max="5" width="11.28515625" bestFit="1" customWidth="1"/>
    <col min="6" max="6" width="11.28515625" style="61" bestFit="1" customWidth="1"/>
    <col min="7" max="7" width="10.140625" style="61" bestFit="1" customWidth="1"/>
    <col min="8" max="8" width="10.140625" bestFit="1" customWidth="1"/>
    <col min="9" max="9" width="10.7109375" customWidth="1"/>
    <col min="10" max="10" width="11.28515625" style="60" bestFit="1" customWidth="1"/>
    <col min="11" max="11" width="10.140625" bestFit="1" customWidth="1"/>
    <col min="12" max="12" width="13.5703125" customWidth="1"/>
    <col min="13" max="13" width="12.7109375" customWidth="1"/>
    <col min="14" max="14" width="11.7109375" customWidth="1"/>
    <col min="15" max="15" width="11.42578125" customWidth="1"/>
    <col min="16" max="16" width="13.140625" customWidth="1"/>
    <col min="17" max="17" width="14" customWidth="1"/>
    <col min="18" max="18" width="12.28515625" customWidth="1"/>
    <col min="19" max="19" width="12" bestFit="1" customWidth="1"/>
    <col min="20" max="20" width="14.42578125" bestFit="1" customWidth="1"/>
    <col min="21" max="21" width="13.5703125" customWidth="1"/>
    <col min="22" max="22" width="12" customWidth="1"/>
    <col min="23" max="23" width="14.42578125" bestFit="1" customWidth="1"/>
    <col min="24" max="26" width="11.28515625" bestFit="1" customWidth="1"/>
    <col min="27" max="27" width="12" bestFit="1" customWidth="1"/>
    <col min="28" max="28" width="11.28515625" bestFit="1" customWidth="1"/>
    <col min="29" max="29" width="11.5703125" customWidth="1"/>
    <col min="30" max="30" width="11.140625" bestFit="1" customWidth="1"/>
    <col min="31" max="31" width="14.42578125" bestFit="1" customWidth="1"/>
    <col min="32" max="32" width="18.85546875" customWidth="1"/>
    <col min="33" max="33" width="19.28515625" style="42" customWidth="1"/>
    <col min="34" max="34" width="19.85546875" style="84" customWidth="1"/>
  </cols>
  <sheetData>
    <row r="1" spans="1:34" ht="23.25" x14ac:dyDescent="0.25">
      <c r="A1" s="1" t="s">
        <v>0</v>
      </c>
      <c r="B1" s="2"/>
      <c r="C1" s="3">
        <v>46054</v>
      </c>
      <c r="F1" s="39"/>
      <c r="G1" s="39"/>
      <c r="H1" s="27"/>
      <c r="I1" s="27"/>
      <c r="J1" s="27"/>
      <c r="K1" s="27"/>
      <c r="R1" s="60"/>
      <c r="U1" s="27"/>
      <c r="AH1" s="108"/>
    </row>
    <row r="2" spans="1:34" ht="18.75" x14ac:dyDescent="0.25">
      <c r="A2" s="4" t="s">
        <v>1</v>
      </c>
      <c r="B2" s="4" t="s">
        <v>2</v>
      </c>
      <c r="C2" s="4" t="s">
        <v>3</v>
      </c>
      <c r="D2" s="26">
        <v>46052</v>
      </c>
      <c r="E2" s="26">
        <v>46053</v>
      </c>
      <c r="F2" s="26">
        <v>46054</v>
      </c>
      <c r="G2" s="26">
        <v>46055</v>
      </c>
      <c r="H2" s="26">
        <v>46056</v>
      </c>
      <c r="I2" s="26">
        <v>46057</v>
      </c>
      <c r="J2" s="26">
        <v>46058</v>
      </c>
      <c r="K2" s="26">
        <v>46059</v>
      </c>
      <c r="L2" s="26">
        <v>46060</v>
      </c>
      <c r="M2" s="26">
        <v>46061</v>
      </c>
      <c r="N2" s="26">
        <v>46062</v>
      </c>
      <c r="O2" s="26">
        <v>46063</v>
      </c>
      <c r="P2" s="26">
        <v>46064</v>
      </c>
      <c r="Q2" s="43">
        <v>46065</v>
      </c>
      <c r="R2" s="26">
        <v>46066</v>
      </c>
      <c r="S2" s="26">
        <v>46067</v>
      </c>
      <c r="T2" s="43">
        <v>46068</v>
      </c>
      <c r="U2" s="26">
        <v>46069</v>
      </c>
      <c r="V2" s="26">
        <v>46070</v>
      </c>
      <c r="W2" s="26">
        <v>46071</v>
      </c>
      <c r="X2" s="26">
        <v>46072</v>
      </c>
      <c r="Y2" s="26">
        <v>46073</v>
      </c>
      <c r="Z2" s="43">
        <v>46074</v>
      </c>
      <c r="AA2" s="26">
        <v>46075</v>
      </c>
      <c r="AB2" s="26">
        <v>46076</v>
      </c>
      <c r="AC2" s="26">
        <v>46077</v>
      </c>
      <c r="AD2" s="26">
        <v>46078</v>
      </c>
      <c r="AE2" s="26">
        <v>46079</v>
      </c>
      <c r="AF2" s="26">
        <v>46080</v>
      </c>
      <c r="AG2" s="93">
        <v>46081</v>
      </c>
      <c r="AH2" s="83"/>
    </row>
    <row r="3" spans="1:34" ht="15.75" x14ac:dyDescent="0.25">
      <c r="A3" s="5"/>
      <c r="B3" s="5"/>
      <c r="C3" s="6"/>
      <c r="D3" s="27"/>
      <c r="E3" s="27"/>
      <c r="F3" s="39"/>
      <c r="G3" s="39"/>
      <c r="H3" s="27"/>
      <c r="I3" s="27"/>
      <c r="J3" s="27"/>
      <c r="K3" s="27"/>
      <c r="L3" s="27"/>
      <c r="M3" s="27"/>
      <c r="N3" s="27"/>
      <c r="O3" s="27"/>
      <c r="P3" s="27"/>
      <c r="Q3" s="46"/>
      <c r="R3" s="27"/>
      <c r="S3" s="27"/>
      <c r="T3" s="46"/>
      <c r="U3" s="27"/>
      <c r="V3" s="27"/>
      <c r="W3" s="27"/>
      <c r="X3" s="27"/>
      <c r="Y3" s="27"/>
      <c r="AA3" s="27"/>
      <c r="AB3" s="27"/>
      <c r="AC3" s="27"/>
      <c r="AD3" s="27"/>
      <c r="AE3" s="27"/>
      <c r="AF3" s="27"/>
      <c r="AG3" s="94"/>
    </row>
    <row r="4" spans="1:34" ht="15.75" x14ac:dyDescent="0.25">
      <c r="A4" s="7">
        <v>1</v>
      </c>
      <c r="B4" s="7" t="s">
        <v>4</v>
      </c>
      <c r="C4" s="7" t="s">
        <v>5</v>
      </c>
      <c r="D4" s="41">
        <v>202967019</v>
      </c>
      <c r="E4" s="41">
        <v>202967019</v>
      </c>
      <c r="F4" s="41">
        <v>202967019</v>
      </c>
      <c r="G4" s="41">
        <v>202967019</v>
      </c>
      <c r="H4" s="41">
        <v>202967019</v>
      </c>
      <c r="I4" s="41">
        <v>202967019</v>
      </c>
      <c r="J4" s="41">
        <v>202967020</v>
      </c>
      <c r="K4" s="41">
        <v>202967020</v>
      </c>
      <c r="L4" s="41">
        <v>202967020</v>
      </c>
      <c r="M4" s="41">
        <v>202967020</v>
      </c>
      <c r="N4" s="41">
        <v>202967020</v>
      </c>
      <c r="O4" s="41">
        <v>202967020</v>
      </c>
      <c r="P4" s="41">
        <v>202967020</v>
      </c>
      <c r="Q4" s="44">
        <v>202967020</v>
      </c>
      <c r="R4" s="41">
        <v>202967021</v>
      </c>
      <c r="S4" s="28">
        <v>202967021</v>
      </c>
      <c r="T4" s="44">
        <v>202967021</v>
      </c>
      <c r="U4" s="41">
        <v>202967021</v>
      </c>
      <c r="V4" s="41">
        <v>202967021</v>
      </c>
      <c r="W4" s="41">
        <v>202967021</v>
      </c>
      <c r="X4" s="41">
        <v>202967021</v>
      </c>
      <c r="Y4" s="41">
        <v>202967022</v>
      </c>
      <c r="Z4" s="44">
        <v>202967022</v>
      </c>
      <c r="AA4" s="41">
        <v>202967022</v>
      </c>
      <c r="AB4" s="41">
        <v>202967022</v>
      </c>
      <c r="AC4" s="41">
        <v>202967022</v>
      </c>
      <c r="AD4" s="41">
        <v>202967022</v>
      </c>
      <c r="AE4" s="41">
        <v>202967022</v>
      </c>
      <c r="AF4" s="41">
        <v>202967022</v>
      </c>
      <c r="AG4" s="95">
        <v>202967022</v>
      </c>
      <c r="AH4" s="85"/>
    </row>
    <row r="5" spans="1:34" ht="15.75" x14ac:dyDescent="0.25">
      <c r="A5" s="7"/>
      <c r="B5" s="7"/>
      <c r="C5" s="7" t="s">
        <v>6</v>
      </c>
      <c r="D5" s="41">
        <v>59872155</v>
      </c>
      <c r="E5" s="41">
        <v>60075351</v>
      </c>
      <c r="F5" s="41">
        <v>60276266</v>
      </c>
      <c r="G5" s="41">
        <v>60466176</v>
      </c>
      <c r="H5" s="41">
        <v>60669852</v>
      </c>
      <c r="I5" s="41">
        <v>60877120</v>
      </c>
      <c r="J5" s="41">
        <v>61081573</v>
      </c>
      <c r="K5" s="41">
        <v>61270466</v>
      </c>
      <c r="L5" s="41">
        <v>61460423</v>
      </c>
      <c r="M5" s="41">
        <v>61667733</v>
      </c>
      <c r="N5" s="41">
        <v>61869009</v>
      </c>
      <c r="O5" s="41">
        <v>62069869</v>
      </c>
      <c r="P5" s="41">
        <v>62266452</v>
      </c>
      <c r="Q5" s="44">
        <v>62476703</v>
      </c>
      <c r="R5" s="41">
        <v>62682840</v>
      </c>
      <c r="S5" s="28">
        <v>62869958</v>
      </c>
      <c r="T5" s="44">
        <v>63031910</v>
      </c>
      <c r="U5" s="41">
        <v>63217624</v>
      </c>
      <c r="V5" s="41">
        <v>63415069</v>
      </c>
      <c r="W5" s="41">
        <v>63623150</v>
      </c>
      <c r="X5" s="41">
        <v>63813562</v>
      </c>
      <c r="Y5" s="41">
        <v>64014186</v>
      </c>
      <c r="Z5" s="44">
        <v>64205231</v>
      </c>
      <c r="AA5" s="41">
        <v>64402710</v>
      </c>
      <c r="AB5" s="41">
        <v>64589643</v>
      </c>
      <c r="AC5" s="41">
        <v>64769915</v>
      </c>
      <c r="AD5" s="41">
        <v>64935511</v>
      </c>
      <c r="AE5" s="41">
        <v>65123416</v>
      </c>
      <c r="AF5" s="41">
        <v>65310123</v>
      </c>
      <c r="AG5" s="95">
        <v>65509123</v>
      </c>
      <c r="AH5" s="85"/>
    </row>
    <row r="6" spans="1:34" ht="15.75" x14ac:dyDescent="0.25">
      <c r="A6" s="7">
        <v>2</v>
      </c>
      <c r="B6" s="7" t="s">
        <v>7</v>
      </c>
      <c r="C6" s="7" t="s">
        <v>8</v>
      </c>
      <c r="D6" s="41">
        <v>75654506</v>
      </c>
      <c r="E6" s="41">
        <v>75869191</v>
      </c>
      <c r="F6" s="41">
        <v>76089508</v>
      </c>
      <c r="G6" s="41">
        <v>76297987</v>
      </c>
      <c r="H6" s="41">
        <v>76505557</v>
      </c>
      <c r="I6" s="41">
        <v>76701704</v>
      </c>
      <c r="J6" s="41">
        <v>76906601</v>
      </c>
      <c r="K6" s="41">
        <v>77101022</v>
      </c>
      <c r="L6" s="41">
        <v>77295359</v>
      </c>
      <c r="M6" s="41">
        <v>77519002</v>
      </c>
      <c r="N6" s="41">
        <v>77725708</v>
      </c>
      <c r="O6" s="41">
        <v>77935390</v>
      </c>
      <c r="P6" s="41">
        <v>78145111</v>
      </c>
      <c r="Q6" s="44">
        <v>78350716</v>
      </c>
      <c r="R6" s="41">
        <v>78551323</v>
      </c>
      <c r="S6" s="8">
        <v>78764687</v>
      </c>
      <c r="T6" s="44">
        <v>78984573</v>
      </c>
      <c r="U6" s="41">
        <v>79201460</v>
      </c>
      <c r="V6" s="41">
        <v>79423404</v>
      </c>
      <c r="W6" s="41">
        <v>79657707</v>
      </c>
      <c r="X6" s="41">
        <v>79858546</v>
      </c>
      <c r="Y6" s="41">
        <v>80085080</v>
      </c>
      <c r="Z6" s="44">
        <v>80310993</v>
      </c>
      <c r="AA6" s="41">
        <v>80558560</v>
      </c>
      <c r="AB6" s="41">
        <v>80790932</v>
      </c>
      <c r="AC6" s="41">
        <v>81005758</v>
      </c>
      <c r="AD6" s="41">
        <v>81228287</v>
      </c>
      <c r="AE6" s="41">
        <v>81441281</v>
      </c>
      <c r="AF6" s="41">
        <v>81652833</v>
      </c>
      <c r="AG6" s="95">
        <v>81860458</v>
      </c>
      <c r="AH6" s="85"/>
    </row>
    <row r="7" spans="1:34" ht="15.75" x14ac:dyDescent="0.25">
      <c r="A7" s="7"/>
      <c r="B7" s="8"/>
      <c r="C7" s="7" t="s">
        <v>9</v>
      </c>
      <c r="D7" s="41">
        <v>199051217</v>
      </c>
      <c r="E7" s="41">
        <v>199222080</v>
      </c>
      <c r="F7" s="41">
        <v>199398260</v>
      </c>
      <c r="G7" s="41">
        <v>199564699</v>
      </c>
      <c r="H7" s="41">
        <v>199734892</v>
      </c>
      <c r="I7" s="41">
        <v>199902207</v>
      </c>
      <c r="J7" s="41">
        <v>200079254</v>
      </c>
      <c r="K7" s="41">
        <v>200256594</v>
      </c>
      <c r="L7" s="41">
        <v>200435920</v>
      </c>
      <c r="M7" s="41">
        <v>200624533</v>
      </c>
      <c r="N7" s="41">
        <v>200805279</v>
      </c>
      <c r="O7" s="41">
        <v>200981274</v>
      </c>
      <c r="P7" s="41">
        <v>201155325</v>
      </c>
      <c r="Q7" s="44">
        <v>201337384</v>
      </c>
      <c r="R7" s="41">
        <v>201515890</v>
      </c>
      <c r="S7" s="8">
        <v>201685142</v>
      </c>
      <c r="T7" s="44">
        <v>201828445</v>
      </c>
      <c r="U7" s="41">
        <v>201998274</v>
      </c>
      <c r="V7" s="41">
        <v>202164684</v>
      </c>
      <c r="W7" s="41">
        <v>202347902</v>
      </c>
      <c r="X7" s="41">
        <v>202510051</v>
      </c>
      <c r="Y7" s="41">
        <v>202685375</v>
      </c>
      <c r="Z7" s="44">
        <v>202853850</v>
      </c>
      <c r="AA7" s="41">
        <v>203020021</v>
      </c>
      <c r="AB7" s="41">
        <v>203182452</v>
      </c>
      <c r="AC7" s="41">
        <v>203356292</v>
      </c>
      <c r="AD7" s="41">
        <v>203516390</v>
      </c>
      <c r="AE7" s="41">
        <v>203681611</v>
      </c>
      <c r="AF7" s="41">
        <v>203859001</v>
      </c>
      <c r="AG7" s="95">
        <v>204044187</v>
      </c>
      <c r="AH7" s="85"/>
    </row>
    <row r="8" spans="1:34" ht="15.75" x14ac:dyDescent="0.25">
      <c r="A8" s="7"/>
      <c r="B8" s="7"/>
      <c r="C8" s="7" t="s">
        <v>10</v>
      </c>
      <c r="D8" s="41">
        <v>163238471</v>
      </c>
      <c r="E8" s="41">
        <v>163238472</v>
      </c>
      <c r="F8" s="41">
        <v>163238473</v>
      </c>
      <c r="G8" s="41">
        <v>163238474</v>
      </c>
      <c r="H8" s="41">
        <v>163238475</v>
      </c>
      <c r="I8" s="41">
        <v>163238476</v>
      </c>
      <c r="J8" s="41">
        <v>163238476</v>
      </c>
      <c r="K8" s="41">
        <v>163238477</v>
      </c>
      <c r="L8" s="41">
        <v>163238477</v>
      </c>
      <c r="M8" s="41">
        <v>163238480</v>
      </c>
      <c r="N8" s="41">
        <v>163238483</v>
      </c>
      <c r="O8" s="41">
        <v>163238483</v>
      </c>
      <c r="P8" s="41">
        <v>163238486</v>
      </c>
      <c r="Q8" s="44">
        <v>163238490</v>
      </c>
      <c r="R8" s="41">
        <v>163238495</v>
      </c>
      <c r="S8" s="8">
        <v>163238497</v>
      </c>
      <c r="T8" s="44">
        <v>163238499</v>
      </c>
      <c r="U8" s="41">
        <v>163238500</v>
      </c>
      <c r="V8" s="41">
        <v>163238502</v>
      </c>
      <c r="W8" s="41">
        <v>163238505</v>
      </c>
      <c r="X8" s="41">
        <v>163238508</v>
      </c>
      <c r="Y8" s="41">
        <v>163238511</v>
      </c>
      <c r="Z8" s="44">
        <v>163238515</v>
      </c>
      <c r="AA8" s="41">
        <v>163238518</v>
      </c>
      <c r="AB8" s="41">
        <v>163238520</v>
      </c>
      <c r="AC8" s="41">
        <v>163238522</v>
      </c>
      <c r="AD8" s="41">
        <v>163238523</v>
      </c>
      <c r="AE8" s="41">
        <v>163238524</v>
      </c>
      <c r="AF8" s="66">
        <v>163238533</v>
      </c>
      <c r="AG8" s="95">
        <v>163238540</v>
      </c>
      <c r="AH8" s="85"/>
    </row>
    <row r="9" spans="1:34" ht="15.75" x14ac:dyDescent="0.25">
      <c r="A9" s="7"/>
      <c r="B9" s="9" t="s">
        <v>11</v>
      </c>
      <c r="C9" s="9"/>
      <c r="D9" s="29">
        <f t="shared" ref="D9" si="0">SUM(D4:D8)</f>
        <v>700783368</v>
      </c>
      <c r="E9" s="29">
        <f>SUM(E4:E8)</f>
        <v>701372113</v>
      </c>
      <c r="F9" s="29">
        <f t="shared" ref="F9:AE9" si="1">SUM(F4:F8)</f>
        <v>701969526</v>
      </c>
      <c r="G9" s="29">
        <f t="shared" si="1"/>
        <v>702534355</v>
      </c>
      <c r="H9" s="29">
        <f t="shared" si="1"/>
        <v>703115795</v>
      </c>
      <c r="I9" s="29">
        <f t="shared" si="1"/>
        <v>703686526</v>
      </c>
      <c r="J9" s="29">
        <f t="shared" si="1"/>
        <v>704272924</v>
      </c>
      <c r="K9" s="29">
        <f t="shared" si="1"/>
        <v>704833579</v>
      </c>
      <c r="L9" s="29">
        <f t="shared" si="1"/>
        <v>705397199</v>
      </c>
      <c r="M9" s="29">
        <f t="shared" si="1"/>
        <v>706016768</v>
      </c>
      <c r="N9" s="29">
        <f t="shared" si="1"/>
        <v>706605499</v>
      </c>
      <c r="O9" s="29">
        <f t="shared" si="1"/>
        <v>707192036</v>
      </c>
      <c r="P9" s="29">
        <f t="shared" si="1"/>
        <v>707772394</v>
      </c>
      <c r="Q9" s="45">
        <f t="shared" si="1"/>
        <v>708370313</v>
      </c>
      <c r="R9" s="29">
        <f t="shared" si="1"/>
        <v>708955569</v>
      </c>
      <c r="S9" s="29">
        <f t="shared" si="1"/>
        <v>709525305</v>
      </c>
      <c r="T9" s="45">
        <f t="shared" si="1"/>
        <v>710050448</v>
      </c>
      <c r="U9" s="29">
        <f t="shared" si="1"/>
        <v>710622879</v>
      </c>
      <c r="V9" s="29">
        <f t="shared" si="1"/>
        <v>711208680</v>
      </c>
      <c r="W9" s="29">
        <f t="shared" si="1"/>
        <v>711834285</v>
      </c>
      <c r="X9" s="29">
        <f t="shared" si="1"/>
        <v>712387688</v>
      </c>
      <c r="Y9" s="29">
        <f t="shared" si="1"/>
        <v>712990174</v>
      </c>
      <c r="Z9" s="45">
        <f t="shared" si="1"/>
        <v>713575611</v>
      </c>
      <c r="AA9" s="29">
        <f t="shared" si="1"/>
        <v>714186831</v>
      </c>
      <c r="AB9" s="29">
        <f t="shared" si="1"/>
        <v>714768569</v>
      </c>
      <c r="AC9" s="29">
        <f t="shared" si="1"/>
        <v>715337509</v>
      </c>
      <c r="AD9" s="29">
        <f t="shared" si="1"/>
        <v>715885733</v>
      </c>
      <c r="AE9" s="29">
        <f t="shared" si="1"/>
        <v>716451854</v>
      </c>
      <c r="AF9" s="29">
        <f t="shared" ref="AF9:AG9" si="2">SUM(AF4:AF8)</f>
        <v>717027512</v>
      </c>
      <c r="AG9" s="96">
        <f t="shared" si="2"/>
        <v>717619330</v>
      </c>
      <c r="AH9" s="86"/>
    </row>
    <row r="10" spans="1:34" ht="15.75" x14ac:dyDescent="0.25">
      <c r="A10" s="7"/>
      <c r="B10" s="7"/>
      <c r="C10" s="7"/>
      <c r="D10" s="27"/>
      <c r="E10" s="27"/>
      <c r="F10" s="39"/>
      <c r="G10" s="39"/>
      <c r="H10" s="27"/>
      <c r="I10" s="27"/>
      <c r="J10" s="27"/>
      <c r="K10" s="27"/>
      <c r="L10" s="27"/>
      <c r="M10" s="27"/>
      <c r="N10" s="27"/>
      <c r="O10" s="27"/>
      <c r="P10" s="27"/>
      <c r="Q10" s="46"/>
      <c r="R10" s="27"/>
      <c r="S10" s="8"/>
      <c r="T10" s="46"/>
      <c r="U10" s="27"/>
      <c r="V10" s="27"/>
      <c r="W10" s="27"/>
      <c r="X10" s="27"/>
      <c r="Y10" s="27"/>
      <c r="Z10" s="46"/>
      <c r="AA10" s="27"/>
      <c r="AB10" s="27"/>
      <c r="AC10" s="27"/>
      <c r="AD10" s="27"/>
      <c r="AE10" s="27"/>
      <c r="AF10" s="27"/>
      <c r="AG10" s="47"/>
    </row>
    <row r="11" spans="1:34" ht="15.75" x14ac:dyDescent="0.25">
      <c r="A11" s="7">
        <v>3</v>
      </c>
      <c r="B11" s="7" t="s">
        <v>12</v>
      </c>
      <c r="C11" s="7" t="s">
        <v>13</v>
      </c>
      <c r="D11" s="41">
        <v>190644057</v>
      </c>
      <c r="E11" s="41">
        <v>190784723</v>
      </c>
      <c r="F11" s="41">
        <v>190905509</v>
      </c>
      <c r="G11" s="41">
        <v>191014605</v>
      </c>
      <c r="H11" s="41">
        <v>191136235</v>
      </c>
      <c r="I11" s="41">
        <v>191288445</v>
      </c>
      <c r="J11" s="41">
        <v>191396487</v>
      </c>
      <c r="K11" s="41">
        <v>191477144</v>
      </c>
      <c r="L11" s="41">
        <v>191566901</v>
      </c>
      <c r="M11" s="41">
        <v>191665109</v>
      </c>
      <c r="N11" s="41">
        <v>191785283</v>
      </c>
      <c r="O11" s="41">
        <v>191905389</v>
      </c>
      <c r="P11" s="41">
        <v>192021742</v>
      </c>
      <c r="Q11" s="44">
        <v>192149056</v>
      </c>
      <c r="R11" s="41">
        <v>192301459</v>
      </c>
      <c r="S11" s="8">
        <v>192388051</v>
      </c>
      <c r="T11" s="47">
        <v>192463011</v>
      </c>
      <c r="U11" s="41">
        <v>192566062</v>
      </c>
      <c r="V11" s="41">
        <v>192692382</v>
      </c>
      <c r="W11" s="41">
        <v>192801606</v>
      </c>
      <c r="X11" s="41">
        <v>192901575</v>
      </c>
      <c r="Y11" s="41">
        <v>192985933</v>
      </c>
      <c r="Z11" s="44">
        <v>193051237</v>
      </c>
      <c r="AA11" s="41">
        <v>193157504</v>
      </c>
      <c r="AB11" s="41">
        <v>193252745</v>
      </c>
      <c r="AC11" s="41">
        <v>193320386</v>
      </c>
      <c r="AD11" s="41">
        <v>193411774</v>
      </c>
      <c r="AE11" s="41">
        <v>193512657</v>
      </c>
      <c r="AF11" s="41">
        <v>193644647</v>
      </c>
      <c r="AG11" s="44">
        <v>193751452</v>
      </c>
      <c r="AH11" s="85"/>
    </row>
    <row r="12" spans="1:34" ht="15.75" x14ac:dyDescent="0.25">
      <c r="A12" s="7">
        <v>4</v>
      </c>
      <c r="B12" s="7" t="s">
        <v>14</v>
      </c>
      <c r="C12" s="7" t="s">
        <v>13</v>
      </c>
      <c r="D12" s="41">
        <v>148421488</v>
      </c>
      <c r="E12" s="41">
        <v>148547795</v>
      </c>
      <c r="F12" s="41">
        <v>148650724</v>
      </c>
      <c r="G12" s="41">
        <v>148769320</v>
      </c>
      <c r="H12" s="41">
        <v>148851833</v>
      </c>
      <c r="I12" s="41">
        <v>148996920</v>
      </c>
      <c r="J12" s="41">
        <v>149079376</v>
      </c>
      <c r="K12" s="41">
        <v>149156793</v>
      </c>
      <c r="L12" s="41">
        <v>149259645</v>
      </c>
      <c r="M12" s="41">
        <v>149342087</v>
      </c>
      <c r="N12" s="41">
        <v>149438024</v>
      </c>
      <c r="O12" s="41">
        <v>149610019</v>
      </c>
      <c r="P12" s="41">
        <v>149727831</v>
      </c>
      <c r="Q12" s="44">
        <v>149920280</v>
      </c>
      <c r="R12" s="41">
        <v>150075629</v>
      </c>
      <c r="S12" s="8">
        <v>150202712</v>
      </c>
      <c r="T12" s="47">
        <v>150323091</v>
      </c>
      <c r="U12" s="41">
        <v>150462553</v>
      </c>
      <c r="V12" s="41">
        <v>150524811</v>
      </c>
      <c r="W12" s="41">
        <v>150591374</v>
      </c>
      <c r="X12" s="41">
        <v>150708505</v>
      </c>
      <c r="Y12" s="41">
        <v>150793723</v>
      </c>
      <c r="Z12" s="44">
        <v>150881702</v>
      </c>
      <c r="AA12" s="41">
        <v>151011452</v>
      </c>
      <c r="AB12" s="41">
        <v>151112007</v>
      </c>
      <c r="AC12" s="41">
        <v>151215668</v>
      </c>
      <c r="AD12" s="41">
        <v>151287782</v>
      </c>
      <c r="AE12" s="41">
        <v>151432212</v>
      </c>
      <c r="AF12" s="41">
        <v>151578553</v>
      </c>
      <c r="AG12" s="44">
        <v>151677923</v>
      </c>
      <c r="AH12" s="85"/>
    </row>
    <row r="13" spans="1:34" ht="15.75" x14ac:dyDescent="0.25">
      <c r="A13" s="7"/>
      <c r="B13" s="7"/>
      <c r="C13" s="7"/>
      <c r="D13" s="27"/>
      <c r="E13" s="27"/>
      <c r="F13" s="39"/>
      <c r="G13" s="39"/>
      <c r="H13" s="27"/>
      <c r="I13" s="27"/>
      <c r="J13" s="27"/>
      <c r="K13" s="27"/>
      <c r="L13" s="27"/>
      <c r="M13" s="27"/>
      <c r="N13" s="27"/>
      <c r="O13" s="27"/>
      <c r="P13" s="27"/>
      <c r="Q13" s="46"/>
      <c r="R13" s="27"/>
      <c r="S13" s="8"/>
      <c r="T13" s="46"/>
      <c r="U13" s="27"/>
      <c r="V13" s="27"/>
      <c r="W13" s="27"/>
      <c r="X13" s="27"/>
      <c r="Y13" s="27"/>
      <c r="Z13" s="46"/>
      <c r="AA13" s="27"/>
      <c r="AB13" s="27"/>
      <c r="AC13" s="27"/>
      <c r="AD13" s="27"/>
      <c r="AE13" s="27"/>
      <c r="AF13" s="27"/>
      <c r="AG13" s="47"/>
    </row>
    <row r="14" spans="1:34" ht="15.75" x14ac:dyDescent="0.25">
      <c r="A14" s="7">
        <v>5</v>
      </c>
      <c r="B14" s="7" t="s">
        <v>15</v>
      </c>
      <c r="C14" s="7" t="s">
        <v>16</v>
      </c>
      <c r="D14" s="41">
        <v>14560313</v>
      </c>
      <c r="E14" s="41">
        <v>14568118</v>
      </c>
      <c r="F14" s="41">
        <v>14575710</v>
      </c>
      <c r="G14" s="41">
        <v>14583230</v>
      </c>
      <c r="H14" s="41">
        <v>14590840</v>
      </c>
      <c r="I14" s="41">
        <v>14598246</v>
      </c>
      <c r="J14" s="41">
        <v>14605921</v>
      </c>
      <c r="K14" s="41">
        <v>14613136</v>
      </c>
      <c r="L14" s="41">
        <v>14620888</v>
      </c>
      <c r="M14" s="41">
        <v>14628907</v>
      </c>
      <c r="N14" s="41">
        <v>14636679</v>
      </c>
      <c r="O14" s="41">
        <v>14644254</v>
      </c>
      <c r="P14" s="41">
        <v>14652084</v>
      </c>
      <c r="Q14" s="44">
        <v>14659905</v>
      </c>
      <c r="R14" s="41">
        <v>14667927</v>
      </c>
      <c r="S14" s="8">
        <v>14675846</v>
      </c>
      <c r="T14" s="44">
        <v>14681770</v>
      </c>
      <c r="U14" s="41">
        <v>14690218</v>
      </c>
      <c r="V14" s="41">
        <v>14698258</v>
      </c>
      <c r="W14" s="41">
        <v>14706577</v>
      </c>
      <c r="X14" s="41">
        <v>14713988</v>
      </c>
      <c r="Y14" s="41">
        <v>14721727</v>
      </c>
      <c r="Z14" s="44">
        <v>14729563</v>
      </c>
      <c r="AA14" s="41">
        <v>14737304</v>
      </c>
      <c r="AB14" s="41">
        <v>14745373</v>
      </c>
      <c r="AC14" s="41">
        <v>14753355</v>
      </c>
      <c r="AD14" s="41">
        <v>14760066</v>
      </c>
      <c r="AE14" s="41">
        <v>14767983</v>
      </c>
      <c r="AF14" s="41">
        <v>14775488</v>
      </c>
      <c r="AG14" s="44">
        <v>14783385</v>
      </c>
      <c r="AH14" s="87"/>
    </row>
    <row r="15" spans="1:34" ht="15.75" x14ac:dyDescent="0.25">
      <c r="A15" s="7">
        <v>6</v>
      </c>
      <c r="B15" s="7" t="s">
        <v>17</v>
      </c>
      <c r="C15" s="7" t="s">
        <v>18</v>
      </c>
      <c r="D15" s="41">
        <v>13128464</v>
      </c>
      <c r="E15" s="41">
        <v>13143037</v>
      </c>
      <c r="F15" s="41">
        <v>13157667</v>
      </c>
      <c r="G15" s="41">
        <v>13171883</v>
      </c>
      <c r="H15" s="41">
        <v>13186581</v>
      </c>
      <c r="I15" s="41">
        <v>13200860</v>
      </c>
      <c r="J15" s="41">
        <v>13214949</v>
      </c>
      <c r="K15" s="41">
        <v>13229208</v>
      </c>
      <c r="L15" s="41">
        <v>13243675</v>
      </c>
      <c r="M15" s="41">
        <v>13259199</v>
      </c>
      <c r="N15" s="41">
        <v>13273967</v>
      </c>
      <c r="O15" s="41">
        <v>13288324</v>
      </c>
      <c r="P15" s="41">
        <v>13303052</v>
      </c>
      <c r="Q15" s="44">
        <v>13317947</v>
      </c>
      <c r="R15" s="41">
        <v>13332993</v>
      </c>
      <c r="S15" s="8">
        <v>13347675</v>
      </c>
      <c r="T15" s="44">
        <v>13359166</v>
      </c>
      <c r="U15" s="41">
        <v>13373845</v>
      </c>
      <c r="V15" s="41">
        <v>13388386</v>
      </c>
      <c r="W15" s="41">
        <v>13403734</v>
      </c>
      <c r="X15" s="41">
        <v>13417396</v>
      </c>
      <c r="Y15" s="41">
        <v>13432013</v>
      </c>
      <c r="Z15" s="44">
        <v>13446505</v>
      </c>
      <c r="AA15" s="41">
        <v>13461109</v>
      </c>
      <c r="AB15" s="41">
        <v>13475900</v>
      </c>
      <c r="AC15" s="41">
        <v>13490407</v>
      </c>
      <c r="AD15" s="41">
        <v>13503699</v>
      </c>
      <c r="AE15" s="41">
        <v>13518312</v>
      </c>
      <c r="AF15" s="41">
        <v>13533204</v>
      </c>
      <c r="AG15" s="44">
        <v>13548156</v>
      </c>
      <c r="AH15" s="87"/>
    </row>
    <row r="16" spans="1:34" ht="15.75" x14ac:dyDescent="0.25">
      <c r="A16" s="7">
        <v>7</v>
      </c>
      <c r="B16" s="7" t="s">
        <v>19</v>
      </c>
      <c r="C16" s="7" t="s">
        <v>20</v>
      </c>
      <c r="D16" s="41">
        <v>4601654</v>
      </c>
      <c r="E16" s="41">
        <v>4601765</v>
      </c>
      <c r="F16" s="41">
        <v>4601877</v>
      </c>
      <c r="G16" s="41">
        <v>4601990</v>
      </c>
      <c r="H16" s="41">
        <v>4602102</v>
      </c>
      <c r="I16" s="41">
        <v>4602214</v>
      </c>
      <c r="J16" s="41">
        <v>4602326</v>
      </c>
      <c r="K16" s="41">
        <v>4602438</v>
      </c>
      <c r="L16" s="41">
        <v>4602550</v>
      </c>
      <c r="M16" s="41">
        <v>4602667</v>
      </c>
      <c r="N16" s="41">
        <v>4602778</v>
      </c>
      <c r="O16" s="41">
        <v>4602887</v>
      </c>
      <c r="P16" s="41">
        <v>4602998</v>
      </c>
      <c r="Q16" s="44">
        <v>4603111</v>
      </c>
      <c r="R16" s="41">
        <v>4603222</v>
      </c>
      <c r="S16" s="8">
        <v>4603333</v>
      </c>
      <c r="T16" s="44">
        <v>4603449</v>
      </c>
      <c r="U16" s="41">
        <v>4603561</v>
      </c>
      <c r="V16" s="41">
        <v>4603671</v>
      </c>
      <c r="W16" s="41">
        <v>4603790</v>
      </c>
      <c r="X16" s="41">
        <v>4603895</v>
      </c>
      <c r="Y16" s="41">
        <v>4604008</v>
      </c>
      <c r="Z16" s="44">
        <v>4604119</v>
      </c>
      <c r="AA16" s="41">
        <v>4604232</v>
      </c>
      <c r="AB16" s="41">
        <v>4604344</v>
      </c>
      <c r="AC16" s="41">
        <v>4604457</v>
      </c>
      <c r="AD16" s="41">
        <v>4604573</v>
      </c>
      <c r="AE16" s="41">
        <v>4604683</v>
      </c>
      <c r="AF16" s="41">
        <v>4604796</v>
      </c>
      <c r="AG16" s="44">
        <v>4604909</v>
      </c>
      <c r="AH16" s="87"/>
    </row>
    <row r="17" spans="1:34" ht="15.75" x14ac:dyDescent="0.25">
      <c r="A17" s="7"/>
      <c r="B17" s="7"/>
      <c r="C17" s="7"/>
      <c r="D17" s="27"/>
      <c r="E17" s="27"/>
      <c r="F17" s="39"/>
      <c r="G17" s="39"/>
      <c r="H17" s="27"/>
      <c r="I17" s="27"/>
      <c r="J17" s="27"/>
      <c r="K17" s="27"/>
      <c r="L17" s="27"/>
      <c r="M17" s="27"/>
      <c r="N17" s="27"/>
      <c r="O17" s="27"/>
      <c r="P17" s="27"/>
      <c r="Q17" s="46"/>
      <c r="R17" s="27"/>
      <c r="S17" s="8"/>
      <c r="T17" s="46"/>
      <c r="U17" s="27"/>
      <c r="V17" s="27"/>
      <c r="W17" s="27"/>
      <c r="X17" s="27"/>
      <c r="Y17" s="27"/>
      <c r="Z17" s="46"/>
      <c r="AA17" s="27"/>
      <c r="AB17" s="27"/>
      <c r="AC17" s="27"/>
      <c r="AD17" s="27"/>
      <c r="AE17" s="27"/>
      <c r="AF17" s="27"/>
      <c r="AG17" s="47"/>
    </row>
    <row r="18" spans="1:34" ht="15.75" x14ac:dyDescent="0.25">
      <c r="A18" s="7">
        <v>8</v>
      </c>
      <c r="B18" s="7" t="s">
        <v>21</v>
      </c>
      <c r="C18" s="7" t="s">
        <v>22</v>
      </c>
      <c r="D18" s="41">
        <v>8967097</v>
      </c>
      <c r="E18" s="41">
        <v>8977907</v>
      </c>
      <c r="F18" s="41">
        <v>8989191</v>
      </c>
      <c r="G18" s="41">
        <v>9000286</v>
      </c>
      <c r="H18" s="41">
        <v>9011471</v>
      </c>
      <c r="I18" s="41">
        <v>9022619</v>
      </c>
      <c r="J18" s="41">
        <v>9033856</v>
      </c>
      <c r="K18" s="41">
        <v>9045060</v>
      </c>
      <c r="L18" s="41">
        <v>9055791</v>
      </c>
      <c r="M18" s="41">
        <v>9067483</v>
      </c>
      <c r="N18" s="41">
        <v>9078657</v>
      </c>
      <c r="O18" s="41">
        <v>9089506</v>
      </c>
      <c r="P18" s="41">
        <v>9100715</v>
      </c>
      <c r="Q18" s="44">
        <v>9112146</v>
      </c>
      <c r="R18" s="41">
        <v>9123331</v>
      </c>
      <c r="S18" s="8">
        <v>9134152</v>
      </c>
      <c r="T18" s="44">
        <v>9145562</v>
      </c>
      <c r="U18" s="41">
        <v>9156794</v>
      </c>
      <c r="V18" s="41">
        <v>9167879</v>
      </c>
      <c r="W18" s="41">
        <v>9179814</v>
      </c>
      <c r="X18" s="41">
        <v>9190563</v>
      </c>
      <c r="Y18" s="41">
        <v>9201912</v>
      </c>
      <c r="Z18" s="44">
        <v>9212762</v>
      </c>
      <c r="AA18" s="41">
        <v>9224004</v>
      </c>
      <c r="AB18" s="41">
        <v>9233943</v>
      </c>
      <c r="AC18" s="41">
        <v>9243316</v>
      </c>
      <c r="AD18" s="41">
        <v>9254608</v>
      </c>
      <c r="AE18" s="41">
        <v>9265293</v>
      </c>
      <c r="AF18" s="41">
        <v>9276360</v>
      </c>
      <c r="AG18" s="44">
        <v>9287476</v>
      </c>
      <c r="AH18" s="87"/>
    </row>
    <row r="19" spans="1:34" ht="15.75" x14ac:dyDescent="0.25">
      <c r="A19" s="7">
        <v>9</v>
      </c>
      <c r="B19" s="7" t="s">
        <v>23</v>
      </c>
      <c r="C19" s="7" t="s">
        <v>24</v>
      </c>
      <c r="D19" s="41">
        <v>15136049</v>
      </c>
      <c r="E19" s="41">
        <v>15149252</v>
      </c>
      <c r="F19" s="41">
        <v>15162834</v>
      </c>
      <c r="G19" s="41">
        <v>15175980</v>
      </c>
      <c r="H19" s="41">
        <v>15189487</v>
      </c>
      <c r="I19" s="41">
        <v>15202989</v>
      </c>
      <c r="J19" s="41">
        <v>15216646</v>
      </c>
      <c r="K19" s="41">
        <v>15230397</v>
      </c>
      <c r="L19" s="41">
        <v>15242921</v>
      </c>
      <c r="M19" s="41">
        <v>15257106</v>
      </c>
      <c r="N19" s="41">
        <v>15270716</v>
      </c>
      <c r="O19" s="41">
        <v>15283886</v>
      </c>
      <c r="P19" s="41">
        <v>15297606</v>
      </c>
      <c r="Q19" s="44">
        <v>15311500</v>
      </c>
      <c r="R19" s="41">
        <v>15325166</v>
      </c>
      <c r="S19" s="8">
        <v>15338326</v>
      </c>
      <c r="T19" s="44">
        <v>15351970</v>
      </c>
      <c r="U19" s="41">
        <v>15365462</v>
      </c>
      <c r="V19" s="41">
        <v>15378888</v>
      </c>
      <c r="W19" s="41">
        <v>15393330</v>
      </c>
      <c r="X19" s="41">
        <v>15406368</v>
      </c>
      <c r="Y19" s="41">
        <v>15420109</v>
      </c>
      <c r="Z19" s="44">
        <v>15433052</v>
      </c>
      <c r="AA19" s="41">
        <v>15446681</v>
      </c>
      <c r="AB19" s="41">
        <v>15458763</v>
      </c>
      <c r="AC19" s="41">
        <v>15471482</v>
      </c>
      <c r="AD19" s="41">
        <v>15485420</v>
      </c>
      <c r="AE19" s="41">
        <v>15498574</v>
      </c>
      <c r="AF19" s="41">
        <v>15512295</v>
      </c>
      <c r="AG19" s="44">
        <v>15526069</v>
      </c>
      <c r="AH19" s="87"/>
    </row>
    <row r="20" spans="1:34" ht="15.75" x14ac:dyDescent="0.25">
      <c r="A20" s="7">
        <v>10</v>
      </c>
      <c r="B20" s="7" t="s">
        <v>25</v>
      </c>
      <c r="C20" s="7" t="s">
        <v>26</v>
      </c>
      <c r="D20" s="41">
        <v>5564272</v>
      </c>
      <c r="E20" s="41">
        <v>5564378</v>
      </c>
      <c r="F20" s="41">
        <v>5564484</v>
      </c>
      <c r="G20" s="41">
        <v>5564593</v>
      </c>
      <c r="H20" s="41">
        <v>5564701</v>
      </c>
      <c r="I20" s="41">
        <v>5564806</v>
      </c>
      <c r="J20" s="41">
        <v>5564913</v>
      </c>
      <c r="K20" s="41">
        <v>5565020</v>
      </c>
      <c r="L20" s="41">
        <v>5565127</v>
      </c>
      <c r="M20" s="41">
        <v>5565239</v>
      </c>
      <c r="N20" s="41">
        <v>5565344</v>
      </c>
      <c r="O20" s="41">
        <v>5565447</v>
      </c>
      <c r="P20" s="41">
        <v>5565553</v>
      </c>
      <c r="Q20" s="44">
        <v>5565660</v>
      </c>
      <c r="R20" s="41">
        <v>5565766</v>
      </c>
      <c r="S20" s="8">
        <v>5565672</v>
      </c>
      <c r="T20" s="44">
        <v>5565983</v>
      </c>
      <c r="U20" s="41">
        <v>5566091</v>
      </c>
      <c r="V20" s="41">
        <v>5566196</v>
      </c>
      <c r="W20" s="41">
        <v>5566309</v>
      </c>
      <c r="X20" s="41">
        <v>5566409</v>
      </c>
      <c r="Y20" s="41">
        <v>5566517</v>
      </c>
      <c r="Z20" s="44">
        <v>5566623</v>
      </c>
      <c r="AA20" s="41">
        <v>5566730</v>
      </c>
      <c r="AB20" s="41">
        <v>5566838</v>
      </c>
      <c r="AC20" s="41">
        <v>5567728</v>
      </c>
      <c r="AD20" s="41">
        <v>5567840</v>
      </c>
      <c r="AE20" s="41">
        <v>5567944</v>
      </c>
      <c r="AF20" s="41">
        <v>5568053</v>
      </c>
      <c r="AG20" s="44">
        <v>5568161</v>
      </c>
      <c r="AH20" s="87"/>
    </row>
    <row r="21" spans="1:34" ht="15.75" x14ac:dyDescent="0.25">
      <c r="A21" s="7">
        <v>11</v>
      </c>
      <c r="B21" s="7"/>
      <c r="C21" s="7" t="s">
        <v>27</v>
      </c>
      <c r="D21" s="41">
        <v>675820</v>
      </c>
      <c r="E21" s="41">
        <v>677184</v>
      </c>
      <c r="F21" s="41">
        <v>679926</v>
      </c>
      <c r="G21" s="41">
        <v>681086</v>
      </c>
      <c r="H21" s="41">
        <v>682584</v>
      </c>
      <c r="I21" s="41">
        <v>686235</v>
      </c>
      <c r="J21" s="41">
        <v>687406</v>
      </c>
      <c r="K21" s="41">
        <v>687440</v>
      </c>
      <c r="L21" s="41">
        <v>688522</v>
      </c>
      <c r="M21" s="41">
        <v>689648</v>
      </c>
      <c r="N21" s="41">
        <v>690382</v>
      </c>
      <c r="O21" s="41">
        <v>694586</v>
      </c>
      <c r="P21" s="41">
        <v>694621</v>
      </c>
      <c r="Q21" s="44">
        <v>695962</v>
      </c>
      <c r="R21" s="41">
        <v>697473</v>
      </c>
      <c r="S21" s="8">
        <v>697507</v>
      </c>
      <c r="T21" s="44">
        <v>697542</v>
      </c>
      <c r="U21" s="41">
        <v>698089</v>
      </c>
      <c r="V21" s="41">
        <v>699933</v>
      </c>
      <c r="W21" s="41">
        <v>699970</v>
      </c>
      <c r="X21" s="41">
        <v>700326</v>
      </c>
      <c r="Y21" s="41">
        <v>702134</v>
      </c>
      <c r="Z21" s="44">
        <v>702824</v>
      </c>
      <c r="AA21" s="41">
        <v>704349</v>
      </c>
      <c r="AB21" s="41">
        <v>705928</v>
      </c>
      <c r="AC21" s="41">
        <v>705963</v>
      </c>
      <c r="AD21" s="41">
        <v>705998</v>
      </c>
      <c r="AE21" s="41">
        <v>707324</v>
      </c>
      <c r="AF21" s="41">
        <v>708061</v>
      </c>
      <c r="AG21" s="44">
        <v>708668</v>
      </c>
      <c r="AH21" s="87"/>
    </row>
    <row r="22" spans="1:34" ht="15.75" x14ac:dyDescent="0.25">
      <c r="A22" s="7">
        <v>12</v>
      </c>
      <c r="B22" s="7"/>
      <c r="C22" s="7" t="s">
        <v>28</v>
      </c>
      <c r="D22" s="41">
        <v>701890</v>
      </c>
      <c r="E22" s="41">
        <v>703292</v>
      </c>
      <c r="F22" s="41">
        <v>706058</v>
      </c>
      <c r="G22" s="41">
        <v>707231</v>
      </c>
      <c r="H22" s="41">
        <v>708747</v>
      </c>
      <c r="I22" s="41">
        <v>712458</v>
      </c>
      <c r="J22" s="41">
        <v>714107</v>
      </c>
      <c r="K22" s="41">
        <v>714144</v>
      </c>
      <c r="L22" s="41">
        <v>715246</v>
      </c>
      <c r="M22" s="41">
        <v>716398</v>
      </c>
      <c r="N22" s="41">
        <v>717146</v>
      </c>
      <c r="O22" s="41">
        <v>721270</v>
      </c>
      <c r="P22" s="41">
        <v>721307</v>
      </c>
      <c r="Q22" s="44">
        <v>722689</v>
      </c>
      <c r="R22" s="41">
        <v>724227</v>
      </c>
      <c r="S22" s="8">
        <v>724264</v>
      </c>
      <c r="T22" s="44">
        <v>724302</v>
      </c>
      <c r="U22" s="41">
        <v>724861</v>
      </c>
      <c r="V22" s="41">
        <v>726756</v>
      </c>
      <c r="W22" s="41">
        <v>726795</v>
      </c>
      <c r="X22" s="41">
        <v>727162</v>
      </c>
      <c r="Y22" s="41">
        <v>729011</v>
      </c>
      <c r="Z22" s="44">
        <v>729708</v>
      </c>
      <c r="AA22" s="41">
        <v>731265</v>
      </c>
      <c r="AB22" s="41">
        <v>732882</v>
      </c>
      <c r="AC22" s="41">
        <v>732919</v>
      </c>
      <c r="AD22" s="41">
        <v>732957</v>
      </c>
      <c r="AE22" s="41">
        <v>734305</v>
      </c>
      <c r="AF22" s="41">
        <v>735056</v>
      </c>
      <c r="AG22" s="44">
        <v>735674</v>
      </c>
      <c r="AH22" s="87"/>
    </row>
    <row r="23" spans="1:34" ht="15.75" x14ac:dyDescent="0.25">
      <c r="A23" s="7"/>
      <c r="B23" s="7"/>
      <c r="C23" s="7"/>
      <c r="D23" s="27"/>
      <c r="E23" s="27"/>
      <c r="F23" s="39"/>
      <c r="G23" s="39"/>
      <c r="H23" s="27"/>
      <c r="I23" s="27"/>
      <c r="J23" s="27"/>
      <c r="K23" s="27"/>
      <c r="L23" s="27"/>
      <c r="M23" s="27"/>
      <c r="N23" s="27"/>
      <c r="O23" s="27"/>
      <c r="P23" s="27"/>
      <c r="Q23" s="46"/>
      <c r="R23" s="27"/>
      <c r="S23" s="8"/>
      <c r="T23" s="46"/>
      <c r="U23" s="27"/>
      <c r="V23" s="27"/>
      <c r="W23" s="27"/>
      <c r="X23" s="27"/>
      <c r="Y23" s="27"/>
      <c r="Z23" s="46"/>
      <c r="AA23" s="27"/>
      <c r="AB23" s="27"/>
      <c r="AC23" s="27"/>
      <c r="AD23" s="27"/>
      <c r="AE23" s="27"/>
      <c r="AF23" s="27"/>
      <c r="AG23" s="47"/>
    </row>
    <row r="24" spans="1:34" ht="15.75" x14ac:dyDescent="0.25">
      <c r="A24" s="7">
        <v>13</v>
      </c>
      <c r="B24" s="7" t="s">
        <v>29</v>
      </c>
      <c r="C24" s="7" t="s">
        <v>30</v>
      </c>
      <c r="D24" s="41">
        <v>18805145</v>
      </c>
      <c r="E24" s="41">
        <v>18821105</v>
      </c>
      <c r="F24" s="41">
        <v>18837519</v>
      </c>
      <c r="G24" s="41">
        <v>18850759</v>
      </c>
      <c r="H24" s="41">
        <v>18862608</v>
      </c>
      <c r="I24" s="41">
        <v>18875800</v>
      </c>
      <c r="J24" s="41">
        <v>18891085</v>
      </c>
      <c r="K24" s="41">
        <v>18901272</v>
      </c>
      <c r="L24" s="41">
        <v>18913718</v>
      </c>
      <c r="M24" s="41">
        <v>18929963</v>
      </c>
      <c r="N24" s="41">
        <v>18945516</v>
      </c>
      <c r="O24" s="41">
        <v>18960724</v>
      </c>
      <c r="P24" s="41">
        <v>18975519</v>
      </c>
      <c r="Q24" s="44">
        <v>18989980</v>
      </c>
      <c r="R24" s="41">
        <v>19005216</v>
      </c>
      <c r="S24" s="8">
        <v>19017646</v>
      </c>
      <c r="T24" s="44">
        <v>19033474</v>
      </c>
      <c r="U24" s="41">
        <v>19047579</v>
      </c>
      <c r="V24" s="41">
        <v>19062618</v>
      </c>
      <c r="W24" s="41">
        <v>19078162</v>
      </c>
      <c r="X24" s="41">
        <v>19092654</v>
      </c>
      <c r="Y24" s="41">
        <v>19105374</v>
      </c>
      <c r="Z24" s="44">
        <v>19117809</v>
      </c>
      <c r="AA24" s="41">
        <v>19131114</v>
      </c>
      <c r="AB24" s="41">
        <v>19143426</v>
      </c>
      <c r="AC24" s="41">
        <v>19160079</v>
      </c>
      <c r="AD24" s="41">
        <v>19176597</v>
      </c>
      <c r="AE24" s="41">
        <v>19191392</v>
      </c>
      <c r="AF24" s="41">
        <v>19208210</v>
      </c>
      <c r="AG24" s="44">
        <v>19224594</v>
      </c>
      <c r="AH24" s="87"/>
    </row>
    <row r="25" spans="1:34" ht="15.75" x14ac:dyDescent="0.25">
      <c r="A25" s="7">
        <v>14</v>
      </c>
      <c r="B25" s="7" t="s">
        <v>31</v>
      </c>
      <c r="C25" s="7" t="s">
        <v>32</v>
      </c>
      <c r="D25" s="41">
        <v>16444944</v>
      </c>
      <c r="E25" s="41">
        <v>16462109</v>
      </c>
      <c r="F25" s="41">
        <v>16479310</v>
      </c>
      <c r="G25" s="41">
        <v>16495616</v>
      </c>
      <c r="H25" s="41">
        <v>16512785</v>
      </c>
      <c r="I25" s="41">
        <v>16528318</v>
      </c>
      <c r="J25" s="41">
        <v>16544274</v>
      </c>
      <c r="K25" s="41">
        <v>16562255</v>
      </c>
      <c r="L25" s="41">
        <v>16579911</v>
      </c>
      <c r="M25" s="41">
        <v>16596683</v>
      </c>
      <c r="N25" s="41">
        <v>16613725</v>
      </c>
      <c r="O25" s="41">
        <v>16628659</v>
      </c>
      <c r="P25" s="41">
        <v>16645424</v>
      </c>
      <c r="Q25" s="44">
        <v>16663080</v>
      </c>
      <c r="R25" s="41">
        <v>16680112</v>
      </c>
      <c r="S25" s="8">
        <v>16696437</v>
      </c>
      <c r="T25" s="44">
        <v>16704213</v>
      </c>
      <c r="U25" s="41">
        <v>16720886</v>
      </c>
      <c r="V25" s="41">
        <v>16737757</v>
      </c>
      <c r="W25" s="41">
        <v>16755211</v>
      </c>
      <c r="X25" s="41">
        <v>16771142</v>
      </c>
      <c r="Y25" s="41">
        <v>16787061</v>
      </c>
      <c r="Z25" s="44">
        <v>16804918</v>
      </c>
      <c r="AA25" s="41">
        <v>16821135</v>
      </c>
      <c r="AB25" s="41">
        <v>16836166</v>
      </c>
      <c r="AC25" s="41">
        <v>16851938</v>
      </c>
      <c r="AD25" s="41">
        <v>16861764</v>
      </c>
      <c r="AE25" s="41">
        <v>16877864</v>
      </c>
      <c r="AF25" s="41">
        <v>16893138</v>
      </c>
      <c r="AG25" s="44">
        <v>16909633</v>
      </c>
      <c r="AH25" s="87"/>
    </row>
    <row r="26" spans="1:34" ht="15.75" x14ac:dyDescent="0.25">
      <c r="A26" s="7"/>
      <c r="B26" s="7" t="s">
        <v>33</v>
      </c>
      <c r="C26" s="7" t="s">
        <v>34</v>
      </c>
      <c r="D26" s="41">
        <v>6067921</v>
      </c>
      <c r="E26" s="41">
        <v>6071815</v>
      </c>
      <c r="F26" s="41">
        <v>6074899</v>
      </c>
      <c r="G26" s="41">
        <v>6077943</v>
      </c>
      <c r="H26" s="41">
        <v>6080888</v>
      </c>
      <c r="I26" s="41">
        <v>6083065</v>
      </c>
      <c r="J26" s="41">
        <v>6086265</v>
      </c>
      <c r="K26" s="41">
        <v>6090015</v>
      </c>
      <c r="L26" s="41">
        <v>6093239</v>
      </c>
      <c r="M26" s="41">
        <v>6095916</v>
      </c>
      <c r="N26" s="41">
        <v>6097513</v>
      </c>
      <c r="O26" s="41">
        <v>6099706</v>
      </c>
      <c r="P26" s="41">
        <v>6102811</v>
      </c>
      <c r="Q26" s="44">
        <v>6106355</v>
      </c>
      <c r="R26" s="41">
        <v>6109725</v>
      </c>
      <c r="S26" s="8">
        <v>6113279</v>
      </c>
      <c r="T26" s="44">
        <v>6117138</v>
      </c>
      <c r="U26" s="41">
        <v>6120634</v>
      </c>
      <c r="V26" s="41">
        <v>6123763</v>
      </c>
      <c r="W26" s="41">
        <v>6127088</v>
      </c>
      <c r="X26" s="41">
        <v>6129784</v>
      </c>
      <c r="Y26" s="41">
        <v>6132717</v>
      </c>
      <c r="Z26" s="44">
        <v>6135701</v>
      </c>
      <c r="AA26" s="41">
        <v>6138589</v>
      </c>
      <c r="AB26" s="41">
        <v>6141320</v>
      </c>
      <c r="AC26" s="41">
        <v>6144631</v>
      </c>
      <c r="AD26" s="41">
        <v>6148633</v>
      </c>
      <c r="AE26" s="41">
        <v>6152401</v>
      </c>
      <c r="AF26" s="41">
        <v>6156139</v>
      </c>
      <c r="AG26" s="44">
        <v>6160192</v>
      </c>
      <c r="AH26" s="87"/>
    </row>
    <row r="27" spans="1:34" ht="15.75" x14ac:dyDescent="0.25">
      <c r="A27" s="7">
        <v>15</v>
      </c>
      <c r="B27" s="7" t="s">
        <v>35</v>
      </c>
      <c r="C27" s="7" t="s">
        <v>36</v>
      </c>
      <c r="D27" s="41">
        <v>91031343</v>
      </c>
      <c r="E27" s="41">
        <v>91086411</v>
      </c>
      <c r="F27" s="41">
        <v>91141783</v>
      </c>
      <c r="G27" s="41">
        <v>91195700</v>
      </c>
      <c r="H27" s="41">
        <v>91248631</v>
      </c>
      <c r="I27" s="41">
        <v>91298672</v>
      </c>
      <c r="J27" s="41">
        <v>91351566</v>
      </c>
      <c r="K27" s="41">
        <v>91407135</v>
      </c>
      <c r="L27" s="41">
        <v>91461907</v>
      </c>
      <c r="M27" s="41">
        <v>91519946</v>
      </c>
      <c r="N27" s="41">
        <v>91574326</v>
      </c>
      <c r="O27" s="41">
        <v>91626635</v>
      </c>
      <c r="P27" s="41">
        <v>91670431</v>
      </c>
      <c r="Q27" s="44">
        <v>91729588</v>
      </c>
      <c r="R27" s="41">
        <v>91784120</v>
      </c>
      <c r="S27" s="8">
        <v>91836088</v>
      </c>
      <c r="T27" s="44">
        <v>91883437</v>
      </c>
      <c r="U27" s="41">
        <v>91937388</v>
      </c>
      <c r="V27" s="41">
        <v>91991741</v>
      </c>
      <c r="W27" s="41">
        <v>92053293</v>
      </c>
      <c r="X27" s="41">
        <v>92107874</v>
      </c>
      <c r="Y27" s="41">
        <v>92167399</v>
      </c>
      <c r="Z27" s="44">
        <v>92225811</v>
      </c>
      <c r="AA27" s="41">
        <v>92284373</v>
      </c>
      <c r="AB27" s="41">
        <v>92342973</v>
      </c>
      <c r="AC27" s="41">
        <v>92401296</v>
      </c>
      <c r="AD27" s="41">
        <v>92457000</v>
      </c>
      <c r="AE27" s="41">
        <v>92512035</v>
      </c>
      <c r="AF27" s="41">
        <v>92569062</v>
      </c>
      <c r="AG27" s="44">
        <v>92626304</v>
      </c>
      <c r="AH27" s="87"/>
    </row>
    <row r="28" spans="1:34" ht="15.75" x14ac:dyDescent="0.25">
      <c r="A28" s="7">
        <v>16</v>
      </c>
      <c r="B28" s="7" t="s">
        <v>37</v>
      </c>
      <c r="C28" s="7" t="s">
        <v>38</v>
      </c>
      <c r="D28" s="41">
        <v>5255499</v>
      </c>
      <c r="E28" s="41">
        <v>5259664</v>
      </c>
      <c r="F28" s="41">
        <v>5263865</v>
      </c>
      <c r="G28" s="41">
        <v>5267896</v>
      </c>
      <c r="H28" s="41">
        <v>5271989</v>
      </c>
      <c r="I28" s="41">
        <v>5275785</v>
      </c>
      <c r="J28" s="41">
        <v>5279853</v>
      </c>
      <c r="K28" s="41">
        <v>5284055</v>
      </c>
      <c r="L28" s="41">
        <v>5288205</v>
      </c>
      <c r="M28" s="41">
        <v>5292612</v>
      </c>
      <c r="N28" s="41">
        <v>5296788</v>
      </c>
      <c r="O28" s="41">
        <v>5300762</v>
      </c>
      <c r="P28" s="41">
        <v>5304932</v>
      </c>
      <c r="Q28" s="44">
        <v>5309069</v>
      </c>
      <c r="R28" s="41">
        <v>5313351</v>
      </c>
      <c r="S28" s="8">
        <v>5317275</v>
      </c>
      <c r="T28" s="44">
        <v>5321000</v>
      </c>
      <c r="U28" s="41">
        <v>5325191</v>
      </c>
      <c r="V28" s="41">
        <v>5329382</v>
      </c>
      <c r="W28" s="41">
        <v>5334013</v>
      </c>
      <c r="X28" s="41">
        <v>5338213</v>
      </c>
      <c r="Y28" s="41">
        <v>5342728</v>
      </c>
      <c r="Z28" s="44">
        <v>5347168</v>
      </c>
      <c r="AA28" s="41">
        <v>5351678</v>
      </c>
      <c r="AB28" s="41">
        <v>5356200</v>
      </c>
      <c r="AC28" s="41">
        <v>5360681</v>
      </c>
      <c r="AD28" s="41">
        <v>5365111</v>
      </c>
      <c r="AE28" s="41">
        <v>5369324</v>
      </c>
      <c r="AF28" s="41">
        <v>5373626</v>
      </c>
      <c r="AG28" s="44">
        <v>5377981</v>
      </c>
      <c r="AH28" s="87"/>
    </row>
    <row r="29" spans="1:34" ht="15.75" x14ac:dyDescent="0.25">
      <c r="A29" s="7"/>
      <c r="B29" s="7" t="s">
        <v>77</v>
      </c>
      <c r="C29" s="7" t="s">
        <v>79</v>
      </c>
      <c r="D29" s="41">
        <v>2634412</v>
      </c>
      <c r="E29" s="41">
        <v>2634412</v>
      </c>
      <c r="F29" s="41">
        <v>2707997</v>
      </c>
      <c r="G29" s="41">
        <v>2781583</v>
      </c>
      <c r="H29" s="41">
        <v>2863208</v>
      </c>
      <c r="I29" s="41">
        <v>2958429</v>
      </c>
      <c r="J29" s="41">
        <v>3049362</v>
      </c>
      <c r="K29" s="41">
        <v>3139423</v>
      </c>
      <c r="L29" s="41">
        <v>3225180</v>
      </c>
      <c r="M29" s="41">
        <v>3323392</v>
      </c>
      <c r="N29" s="41">
        <v>3414695</v>
      </c>
      <c r="O29" s="41">
        <v>3504756</v>
      </c>
      <c r="P29" s="41">
        <v>3594086</v>
      </c>
      <c r="Q29" s="44">
        <v>3688693</v>
      </c>
      <c r="R29" s="41">
        <v>3789114</v>
      </c>
      <c r="S29" s="8">
        <v>3883741</v>
      </c>
      <c r="T29" s="44">
        <v>3979799</v>
      </c>
      <c r="U29" s="41">
        <v>4072044</v>
      </c>
      <c r="V29" s="41">
        <v>4164479</v>
      </c>
      <c r="W29" s="8">
        <v>4263896</v>
      </c>
      <c r="X29" s="41">
        <v>4342864</v>
      </c>
      <c r="Y29" s="41">
        <v>4441581</v>
      </c>
      <c r="Z29" s="44">
        <v>4540661</v>
      </c>
      <c r="AA29" s="41">
        <v>4647736</v>
      </c>
      <c r="AB29" s="41">
        <v>4751055</v>
      </c>
      <c r="AC29" s="41">
        <v>4840603</v>
      </c>
      <c r="AD29" s="41">
        <v>4929399</v>
      </c>
      <c r="AE29" s="41">
        <v>5024295</v>
      </c>
      <c r="AF29" s="41">
        <v>5113587</v>
      </c>
      <c r="AG29" s="44">
        <v>5196923</v>
      </c>
      <c r="AH29" s="87"/>
    </row>
    <row r="30" spans="1:34" ht="15.75" x14ac:dyDescent="0.25">
      <c r="A30" s="7">
        <v>17</v>
      </c>
      <c r="B30" s="7" t="s">
        <v>78</v>
      </c>
      <c r="C30" s="7" t="s">
        <v>40</v>
      </c>
      <c r="D30" s="41">
        <v>174775348</v>
      </c>
      <c r="E30" s="41">
        <v>174798812</v>
      </c>
      <c r="F30" s="41">
        <v>174825824</v>
      </c>
      <c r="G30" s="41">
        <v>174845870</v>
      </c>
      <c r="H30" s="41">
        <v>174869173</v>
      </c>
      <c r="I30" s="41">
        <v>174900110</v>
      </c>
      <c r="J30" s="41">
        <v>174930752</v>
      </c>
      <c r="K30" s="41">
        <v>174955297</v>
      </c>
      <c r="L30" s="41">
        <v>174986043</v>
      </c>
      <c r="M30" s="41">
        <v>175016186</v>
      </c>
      <c r="N30" s="41">
        <v>175047025</v>
      </c>
      <c r="O30" s="41">
        <v>175079086</v>
      </c>
      <c r="P30" s="41">
        <v>175105898</v>
      </c>
      <c r="Q30" s="44">
        <v>175140543</v>
      </c>
      <c r="R30" s="41">
        <v>175167006</v>
      </c>
      <c r="S30" s="8">
        <v>175191349</v>
      </c>
      <c r="T30" s="44">
        <v>175208451</v>
      </c>
      <c r="U30" s="41">
        <v>175234942</v>
      </c>
      <c r="V30" s="41">
        <v>175260964</v>
      </c>
      <c r="W30" s="41">
        <v>175288949</v>
      </c>
      <c r="X30" s="41">
        <v>175313888</v>
      </c>
      <c r="Y30" s="41">
        <v>175339314</v>
      </c>
      <c r="Z30" s="44">
        <v>175357319</v>
      </c>
      <c r="AA30" s="41">
        <v>175373428</v>
      </c>
      <c r="AB30" s="41">
        <v>175388970</v>
      </c>
      <c r="AC30" s="41">
        <v>175414415</v>
      </c>
      <c r="AD30" s="41">
        <v>175436035</v>
      </c>
      <c r="AE30" s="41">
        <v>175462503</v>
      </c>
      <c r="AF30" s="41">
        <v>175493344</v>
      </c>
      <c r="AG30" s="44">
        <v>175531634</v>
      </c>
      <c r="AH30" s="87"/>
    </row>
    <row r="31" spans="1:34" ht="15.75" x14ac:dyDescent="0.25">
      <c r="A31" s="7"/>
      <c r="B31" s="7" t="s">
        <v>80</v>
      </c>
      <c r="C31" s="7" t="s">
        <v>81</v>
      </c>
      <c r="D31" s="41">
        <v>2756858</v>
      </c>
      <c r="E31" s="41">
        <v>2756858</v>
      </c>
      <c r="F31" s="39">
        <v>2763707</v>
      </c>
      <c r="G31" s="39">
        <v>2770556</v>
      </c>
      <c r="H31" s="41">
        <v>2778117</v>
      </c>
      <c r="I31" s="41">
        <v>2785719</v>
      </c>
      <c r="J31" s="41">
        <v>2795704</v>
      </c>
      <c r="K31" s="41">
        <v>2805643</v>
      </c>
      <c r="L31" s="41">
        <v>2814803</v>
      </c>
      <c r="M31" s="41">
        <v>2825644</v>
      </c>
      <c r="N31" s="41">
        <v>2834655</v>
      </c>
      <c r="O31" s="41">
        <v>2845501</v>
      </c>
      <c r="P31" s="41">
        <v>2852323</v>
      </c>
      <c r="Q31" s="44">
        <v>2863477</v>
      </c>
      <c r="R31" s="41">
        <v>2874747</v>
      </c>
      <c r="S31" s="8">
        <v>2885387</v>
      </c>
      <c r="T31" s="44">
        <v>2895475</v>
      </c>
      <c r="U31" s="41">
        <v>2903394</v>
      </c>
      <c r="V31" s="41">
        <v>2912224</v>
      </c>
      <c r="W31" s="8">
        <v>2922195</v>
      </c>
      <c r="X31" s="41">
        <v>2930202</v>
      </c>
      <c r="Y31" s="41">
        <v>2937560</v>
      </c>
      <c r="Z31" s="44">
        <v>2946348</v>
      </c>
      <c r="AA31" s="41">
        <v>2956461</v>
      </c>
      <c r="AB31" s="41">
        <v>2965250</v>
      </c>
      <c r="AC31" s="41">
        <v>2975006</v>
      </c>
      <c r="AD31" s="41">
        <v>2984453</v>
      </c>
      <c r="AE31" s="41">
        <v>2992992</v>
      </c>
      <c r="AF31" s="41">
        <v>3003852</v>
      </c>
      <c r="AG31" s="44">
        <v>3013881</v>
      </c>
      <c r="AH31" s="87"/>
    </row>
    <row r="32" spans="1:34" ht="15.75" x14ac:dyDescent="0.25">
      <c r="A32" s="7"/>
      <c r="B32" s="7"/>
      <c r="C32" s="7"/>
      <c r="D32" s="41"/>
      <c r="E32" s="41"/>
      <c r="F32" s="41"/>
      <c r="G32" s="41"/>
      <c r="H32" s="27"/>
      <c r="I32" s="27"/>
      <c r="J32" s="27"/>
      <c r="K32" s="27"/>
      <c r="L32" s="27"/>
      <c r="M32" s="27"/>
      <c r="N32" s="27"/>
      <c r="O32" s="27"/>
      <c r="P32" s="27"/>
      <c r="Q32" s="46"/>
      <c r="R32" s="27"/>
      <c r="S32" s="8"/>
      <c r="T32" s="46"/>
      <c r="U32" s="27"/>
      <c r="V32" s="27"/>
      <c r="W32" s="27"/>
      <c r="X32" s="27"/>
      <c r="Y32" s="27"/>
      <c r="Z32" s="46"/>
      <c r="AA32" s="27"/>
      <c r="AB32" s="27"/>
      <c r="AC32" s="27"/>
      <c r="AD32" s="27"/>
      <c r="AE32" s="27"/>
      <c r="AF32" s="27"/>
      <c r="AG32" s="47"/>
    </row>
    <row r="33" spans="1:34" ht="15.75" x14ac:dyDescent="0.25">
      <c r="A33" s="7">
        <v>19</v>
      </c>
      <c r="B33" s="7" t="s">
        <v>43</v>
      </c>
      <c r="C33" s="7" t="s">
        <v>44</v>
      </c>
      <c r="D33" s="41">
        <v>75820522</v>
      </c>
      <c r="E33" s="41">
        <v>75820524</v>
      </c>
      <c r="F33" s="41">
        <v>75820525</v>
      </c>
      <c r="G33" s="41">
        <v>75820526</v>
      </c>
      <c r="H33" s="41">
        <v>75820527</v>
      </c>
      <c r="I33" s="41">
        <v>75820528</v>
      </c>
      <c r="J33" s="41">
        <v>75820529</v>
      </c>
      <c r="K33" s="41">
        <v>75820530</v>
      </c>
      <c r="L33" s="41">
        <v>75820532</v>
      </c>
      <c r="M33" s="41">
        <v>75820533</v>
      </c>
      <c r="N33" s="41">
        <v>75820535</v>
      </c>
      <c r="O33" s="41">
        <v>75820536</v>
      </c>
      <c r="P33" s="41">
        <v>75820537</v>
      </c>
      <c r="Q33" s="44">
        <v>75820539</v>
      </c>
      <c r="R33" s="41">
        <v>75820541</v>
      </c>
      <c r="S33" s="8">
        <v>75820543</v>
      </c>
      <c r="T33" s="44">
        <v>75820544</v>
      </c>
      <c r="U33" s="41">
        <v>75820545</v>
      </c>
      <c r="V33" s="41">
        <v>75820547</v>
      </c>
      <c r="W33" s="41">
        <v>75820548</v>
      </c>
      <c r="X33" s="41">
        <v>75820550</v>
      </c>
      <c r="Y33" s="41">
        <v>75820551</v>
      </c>
      <c r="Z33" s="44">
        <v>75820553</v>
      </c>
      <c r="AA33" s="41">
        <v>75820554</v>
      </c>
      <c r="AB33" s="41">
        <v>75820555</v>
      </c>
      <c r="AC33" s="41">
        <v>75820557</v>
      </c>
      <c r="AD33" s="41">
        <v>75820558</v>
      </c>
      <c r="AE33" s="41">
        <v>75820559</v>
      </c>
      <c r="AF33" s="41">
        <v>75820560</v>
      </c>
      <c r="AG33" s="44">
        <v>75820562</v>
      </c>
      <c r="AH33" s="87"/>
    </row>
    <row r="34" spans="1:34" ht="15.75" x14ac:dyDescent="0.25">
      <c r="A34" s="7"/>
      <c r="B34" s="7" t="s">
        <v>47</v>
      </c>
      <c r="C34" s="7" t="s">
        <v>48</v>
      </c>
      <c r="D34" s="41">
        <v>12319917</v>
      </c>
      <c r="E34" s="41">
        <v>12392217</v>
      </c>
      <c r="F34" s="41">
        <v>12475930</v>
      </c>
      <c r="G34" s="41">
        <v>12547071</v>
      </c>
      <c r="H34" s="41">
        <v>12621232</v>
      </c>
      <c r="I34" s="41">
        <v>12688787</v>
      </c>
      <c r="J34" s="41">
        <v>12763552</v>
      </c>
      <c r="K34" s="41">
        <v>12832398</v>
      </c>
      <c r="L34" s="41">
        <v>12904770</v>
      </c>
      <c r="M34" s="41">
        <v>12990817</v>
      </c>
      <c r="N34" s="41">
        <v>13071466</v>
      </c>
      <c r="O34" s="41">
        <v>13151740</v>
      </c>
      <c r="P34" s="41">
        <v>13235525</v>
      </c>
      <c r="Q34" s="44">
        <v>13307745</v>
      </c>
      <c r="R34" s="41">
        <v>13367858</v>
      </c>
      <c r="S34" s="8">
        <v>13449815</v>
      </c>
      <c r="T34" s="44">
        <v>13533536</v>
      </c>
      <c r="U34" s="41">
        <v>13614625</v>
      </c>
      <c r="V34" s="41">
        <v>13696797</v>
      </c>
      <c r="W34" s="8">
        <v>13792150</v>
      </c>
      <c r="X34" s="41">
        <v>13860390</v>
      </c>
      <c r="Y34" s="41">
        <v>13944995</v>
      </c>
      <c r="Z34" s="44">
        <v>14026742</v>
      </c>
      <c r="AA34" s="41">
        <v>14117282</v>
      </c>
      <c r="AB34" s="41">
        <v>14203212</v>
      </c>
      <c r="AC34" s="41">
        <v>14280000</v>
      </c>
      <c r="AD34" s="41">
        <v>14366669</v>
      </c>
      <c r="AE34" s="41">
        <v>14435989</v>
      </c>
      <c r="AF34" s="41">
        <v>14508864</v>
      </c>
      <c r="AG34" s="44">
        <v>14582792</v>
      </c>
      <c r="AH34" s="87"/>
    </row>
    <row r="35" spans="1:34" ht="15.75" x14ac:dyDescent="0.25">
      <c r="A35" s="10"/>
      <c r="B35" s="11"/>
      <c r="C35" s="11"/>
      <c r="D35" s="22"/>
      <c r="E35" s="27"/>
      <c r="F35" s="39"/>
      <c r="G35" s="39"/>
      <c r="H35" s="27"/>
      <c r="I35" s="27"/>
      <c r="J35" s="27"/>
      <c r="K35" s="27"/>
      <c r="L35" s="27"/>
      <c r="M35" s="27"/>
      <c r="N35" s="27"/>
      <c r="O35" s="27"/>
      <c r="P35" s="27"/>
      <c r="Q35" s="46"/>
      <c r="R35" s="27"/>
      <c r="S35" s="8"/>
      <c r="T35" s="46"/>
      <c r="U35" s="27"/>
      <c r="V35" s="27"/>
      <c r="W35" s="27"/>
      <c r="X35" s="27"/>
      <c r="Y35" s="27"/>
      <c r="Z35" s="46"/>
      <c r="AA35" s="27"/>
      <c r="AB35" s="27"/>
      <c r="AC35" s="27"/>
      <c r="AD35" s="27"/>
      <c r="AE35" s="27"/>
      <c r="AF35" s="27"/>
      <c r="AG35" s="47"/>
    </row>
    <row r="36" spans="1:34" ht="15.75" x14ac:dyDescent="0.25">
      <c r="A36" s="10"/>
      <c r="B36" s="11" t="s">
        <v>49</v>
      </c>
      <c r="C36" s="11"/>
      <c r="D36" s="22">
        <f>D11+D12</f>
        <v>339065545</v>
      </c>
      <c r="E36" s="22">
        <f t="shared" ref="E36:J36" si="3">SUM(E11:E12)</f>
        <v>339332518</v>
      </c>
      <c r="F36" s="22">
        <f t="shared" si="3"/>
        <v>339556233</v>
      </c>
      <c r="G36" s="22">
        <f t="shared" si="3"/>
        <v>339783925</v>
      </c>
      <c r="H36" s="22">
        <f t="shared" si="3"/>
        <v>339988068</v>
      </c>
      <c r="I36" s="22">
        <f t="shared" si="3"/>
        <v>340285365</v>
      </c>
      <c r="J36" s="22">
        <f t="shared" si="3"/>
        <v>340475863</v>
      </c>
      <c r="K36" s="22">
        <f t="shared" ref="K36:P36" si="4">SUM(K11:K12)</f>
        <v>340633937</v>
      </c>
      <c r="L36" s="22">
        <f t="shared" si="4"/>
        <v>340826546</v>
      </c>
      <c r="M36" s="22">
        <f t="shared" si="4"/>
        <v>341007196</v>
      </c>
      <c r="N36" s="22">
        <f t="shared" si="4"/>
        <v>341223307</v>
      </c>
      <c r="O36" s="22">
        <f t="shared" si="4"/>
        <v>341515408</v>
      </c>
      <c r="P36" s="22">
        <f t="shared" si="4"/>
        <v>341749573</v>
      </c>
      <c r="Q36" s="48">
        <f t="shared" ref="Q36:R36" si="5">SUM(Q11:Q12)</f>
        <v>342069336</v>
      </c>
      <c r="R36" s="22">
        <f t="shared" si="5"/>
        <v>342377088</v>
      </c>
      <c r="S36" s="22">
        <f t="shared" ref="S36:X36" si="6">SUM(S11:S12)</f>
        <v>342590763</v>
      </c>
      <c r="T36" s="48">
        <f t="shared" si="6"/>
        <v>342786102</v>
      </c>
      <c r="U36" s="22">
        <f t="shared" si="6"/>
        <v>343028615</v>
      </c>
      <c r="V36" s="22">
        <f t="shared" si="6"/>
        <v>343217193</v>
      </c>
      <c r="W36" s="22">
        <f t="shared" si="6"/>
        <v>343392980</v>
      </c>
      <c r="X36" s="22">
        <f t="shared" si="6"/>
        <v>343610080</v>
      </c>
      <c r="Y36" s="22">
        <f t="shared" ref="Y36:Z36" si="7">SUM(Y11:Y12)</f>
        <v>343779656</v>
      </c>
      <c r="Z36" s="48">
        <f t="shared" si="7"/>
        <v>343932939</v>
      </c>
      <c r="AA36" s="22">
        <f t="shared" ref="AA36:AB36" si="8">SUM(AA11:AA12)</f>
        <v>344168956</v>
      </c>
      <c r="AB36" s="22">
        <f t="shared" si="8"/>
        <v>344364752</v>
      </c>
      <c r="AC36" s="22">
        <f t="shared" ref="AC36:AD36" si="9">SUM(AC11:AC12)</f>
        <v>344536054</v>
      </c>
      <c r="AD36" s="22">
        <f t="shared" si="9"/>
        <v>344699556</v>
      </c>
      <c r="AE36" s="22">
        <f t="shared" ref="AE36" si="10">SUM(AE11:AE12)</f>
        <v>344944869</v>
      </c>
      <c r="AF36" s="22">
        <f t="shared" ref="AF36:AG36" si="11">SUM(AF11:AF12)</f>
        <v>345223200</v>
      </c>
      <c r="AG36" s="97">
        <f t="shared" si="11"/>
        <v>345429375</v>
      </c>
      <c r="AH36" s="86"/>
    </row>
    <row r="37" spans="1:34" ht="18.75" x14ac:dyDescent="0.25">
      <c r="A37" s="10"/>
      <c r="B37" s="12" t="s">
        <v>50</v>
      </c>
      <c r="C37" s="12"/>
      <c r="D37" s="22">
        <f t="shared" ref="D37:I37" si="12">D33+D34</f>
        <v>88140439</v>
      </c>
      <c r="E37" s="22">
        <f t="shared" si="12"/>
        <v>88212741</v>
      </c>
      <c r="F37" s="22">
        <f t="shared" si="12"/>
        <v>88296455</v>
      </c>
      <c r="G37" s="22">
        <f t="shared" si="12"/>
        <v>88367597</v>
      </c>
      <c r="H37" s="22">
        <f t="shared" si="12"/>
        <v>88441759</v>
      </c>
      <c r="I37" s="22">
        <f t="shared" si="12"/>
        <v>88509315</v>
      </c>
      <c r="J37" s="22">
        <f t="shared" ref="J37" si="13">J33+J34</f>
        <v>88584081</v>
      </c>
      <c r="K37" s="22">
        <f t="shared" ref="K37:P37" si="14">K33+K34</f>
        <v>88652928</v>
      </c>
      <c r="L37" s="22">
        <f t="shared" si="14"/>
        <v>88725302</v>
      </c>
      <c r="M37" s="22">
        <f t="shared" si="14"/>
        <v>88811350</v>
      </c>
      <c r="N37" s="22">
        <f t="shared" si="14"/>
        <v>88892001</v>
      </c>
      <c r="O37" s="22">
        <f t="shared" si="14"/>
        <v>88972276</v>
      </c>
      <c r="P37" s="22">
        <f t="shared" si="14"/>
        <v>89056062</v>
      </c>
      <c r="Q37" s="48">
        <f t="shared" ref="Q37:R37" si="15">Q33+Q34</f>
        <v>89128284</v>
      </c>
      <c r="R37" s="22">
        <f t="shared" si="15"/>
        <v>89188399</v>
      </c>
      <c r="S37" s="22">
        <f t="shared" ref="S37:X37" si="16">S33+S34</f>
        <v>89270358</v>
      </c>
      <c r="T37" s="48">
        <f t="shared" si="16"/>
        <v>89354080</v>
      </c>
      <c r="U37" s="22">
        <f t="shared" si="16"/>
        <v>89435170</v>
      </c>
      <c r="V37" s="22">
        <f t="shared" si="16"/>
        <v>89517344</v>
      </c>
      <c r="W37" s="22">
        <f t="shared" si="16"/>
        <v>89612698</v>
      </c>
      <c r="X37" s="22">
        <f t="shared" si="16"/>
        <v>89680940</v>
      </c>
      <c r="Y37" s="22">
        <f t="shared" ref="Y37:Z37" si="17">Y33+Y34</f>
        <v>89765546</v>
      </c>
      <c r="Z37" s="48">
        <f t="shared" si="17"/>
        <v>89847295</v>
      </c>
      <c r="AA37" s="22">
        <f t="shared" ref="AA37:AB37" si="18">AA33+AA34</f>
        <v>89937836</v>
      </c>
      <c r="AB37" s="22">
        <f t="shared" si="18"/>
        <v>90023767</v>
      </c>
      <c r="AC37" s="22">
        <f t="shared" ref="AC37:AD37" si="19">AC33+AC34</f>
        <v>90100557</v>
      </c>
      <c r="AD37" s="22">
        <f t="shared" si="19"/>
        <v>90187227</v>
      </c>
      <c r="AE37" s="22">
        <f t="shared" ref="AE37" si="20">AE33+AE34</f>
        <v>90256548</v>
      </c>
      <c r="AF37" s="22">
        <f t="shared" ref="AF37:AG37" si="21">AF33+AF34</f>
        <v>90329424</v>
      </c>
      <c r="AG37" s="97">
        <f t="shared" si="21"/>
        <v>90403354</v>
      </c>
      <c r="AH37" s="86"/>
    </row>
    <row r="38" spans="1:34" ht="18.75" x14ac:dyDescent="0.25">
      <c r="A38" s="10"/>
      <c r="B38" s="13" t="s">
        <v>51</v>
      </c>
      <c r="C38" s="13"/>
      <c r="D38" s="22">
        <f>D14+D15+D16+D18+D19+D20+D21+D22+D31</f>
        <v>66092417</v>
      </c>
      <c r="E38" s="22">
        <f t="shared" ref="E38:J38" si="22">SUM(E14,E15,E16,E18,E19,E20,E21,E22,E31)</f>
        <v>66141791</v>
      </c>
      <c r="F38" s="22">
        <f t="shared" si="22"/>
        <v>66201454</v>
      </c>
      <c r="G38" s="22">
        <f t="shared" si="22"/>
        <v>66256835</v>
      </c>
      <c r="H38" s="22">
        <f t="shared" si="22"/>
        <v>66314630</v>
      </c>
      <c r="I38" s="22">
        <f t="shared" si="22"/>
        <v>66376146</v>
      </c>
      <c r="J38" s="22">
        <f t="shared" si="22"/>
        <v>66435828</v>
      </c>
      <c r="K38" s="22">
        <f t="shared" ref="K38:P38" si="23">SUM(K14,K15,K16,K18,K19,K20,K21,K22,K31)</f>
        <v>66492486</v>
      </c>
      <c r="L38" s="22">
        <f t="shared" si="23"/>
        <v>66549523</v>
      </c>
      <c r="M38" s="22">
        <f t="shared" si="23"/>
        <v>66612291</v>
      </c>
      <c r="N38" s="22">
        <f t="shared" si="23"/>
        <v>66670324</v>
      </c>
      <c r="O38" s="22">
        <f t="shared" si="23"/>
        <v>66735661</v>
      </c>
      <c r="P38" s="22">
        <f t="shared" si="23"/>
        <v>66790259</v>
      </c>
      <c r="Q38" s="48">
        <f t="shared" ref="Q38:R38" si="24">SUM(Q14,Q15,Q16,Q18,Q19,Q20,Q21,Q22,Q31)</f>
        <v>66852397</v>
      </c>
      <c r="R38" s="22">
        <f t="shared" si="24"/>
        <v>66914852</v>
      </c>
      <c r="S38" s="22">
        <f t="shared" ref="S38:X38" si="25">SUM(S14,S15,S16,S18,S19,S20,S21,S22,S31)</f>
        <v>66972162</v>
      </c>
      <c r="T38" s="48">
        <f t="shared" si="25"/>
        <v>67025219</v>
      </c>
      <c r="U38" s="22">
        <f t="shared" si="25"/>
        <v>67082315</v>
      </c>
      <c r="V38" s="22">
        <f t="shared" si="25"/>
        <v>67142191</v>
      </c>
      <c r="W38" s="22">
        <f t="shared" si="25"/>
        <v>67202514</v>
      </c>
      <c r="X38" s="22">
        <f t="shared" si="25"/>
        <v>67256309</v>
      </c>
      <c r="Y38" s="22">
        <f t="shared" ref="Y38:Z38" si="26">SUM(Y14,Y15,Y16,Y18,Y19,Y20,Y21,Y22,Y31)</f>
        <v>67314991</v>
      </c>
      <c r="Z38" s="48">
        <f t="shared" si="26"/>
        <v>67371504</v>
      </c>
      <c r="AA38" s="22">
        <f t="shared" ref="AA38:AB38" si="27">SUM(AA14,AA15,AA16,AA18,AA19,AA20,AA21,AA22,AA31)</f>
        <v>67432135</v>
      </c>
      <c r="AB38" s="22">
        <f t="shared" si="27"/>
        <v>67489221</v>
      </c>
      <c r="AC38" s="22">
        <f t="shared" ref="AC38:AD38" si="28">SUM(AC14,AC15,AC16,AC18,AC19,AC20,AC21,AC22,AC31)</f>
        <v>67544633</v>
      </c>
      <c r="AD38" s="22">
        <f t="shared" si="28"/>
        <v>67599614</v>
      </c>
      <c r="AE38" s="22">
        <f t="shared" ref="AE38" si="29">SUM(AE14,AE15,AE16,AE18,AE19,AE20,AE21,AE22,AE31)</f>
        <v>67657410</v>
      </c>
      <c r="AF38" s="22">
        <f t="shared" ref="AF38:AG38" si="30">SUM(AF14,AF15,AF16,AF18,AF19,AF20,AF21,AF22,AF31)</f>
        <v>67717165</v>
      </c>
      <c r="AG38" s="97">
        <f t="shared" si="30"/>
        <v>67776379</v>
      </c>
      <c r="AH38" s="86"/>
    </row>
    <row r="39" spans="1:34" ht="18.75" x14ac:dyDescent="0.25">
      <c r="A39" s="10"/>
      <c r="B39" s="14" t="s">
        <v>52</v>
      </c>
      <c r="C39" s="14"/>
      <c r="D39" s="8">
        <f>D9-D38-D37</f>
        <v>546550512</v>
      </c>
      <c r="E39" s="22">
        <f t="shared" ref="E39:J39" si="31">E9-E37-E38</f>
        <v>547017581</v>
      </c>
      <c r="F39" s="22">
        <f t="shared" si="31"/>
        <v>547471617</v>
      </c>
      <c r="G39" s="22">
        <f t="shared" si="31"/>
        <v>547909923</v>
      </c>
      <c r="H39" s="22">
        <f t="shared" si="31"/>
        <v>548359406</v>
      </c>
      <c r="I39" s="22">
        <f t="shared" si="31"/>
        <v>548801065</v>
      </c>
      <c r="J39" s="22">
        <f t="shared" si="31"/>
        <v>549253015</v>
      </c>
      <c r="K39" s="22">
        <f t="shared" ref="K39:R39" si="32">K9-K37-K38</f>
        <v>549688165</v>
      </c>
      <c r="L39" s="22">
        <f t="shared" si="32"/>
        <v>550122374</v>
      </c>
      <c r="M39" s="22">
        <f t="shared" si="32"/>
        <v>550593127</v>
      </c>
      <c r="N39" s="22">
        <f t="shared" si="32"/>
        <v>551043174</v>
      </c>
      <c r="O39" s="22">
        <f t="shared" si="32"/>
        <v>551484099</v>
      </c>
      <c r="P39" s="22">
        <f t="shared" si="32"/>
        <v>551926073</v>
      </c>
      <c r="Q39" s="48">
        <f t="shared" si="32"/>
        <v>552389632</v>
      </c>
      <c r="R39" s="22">
        <f t="shared" si="32"/>
        <v>552852318</v>
      </c>
      <c r="S39" s="22">
        <f t="shared" ref="S39:Y39" si="33">S9-S37-S38</f>
        <v>553282785</v>
      </c>
      <c r="T39" s="48">
        <f t="shared" si="33"/>
        <v>553671149</v>
      </c>
      <c r="U39" s="22">
        <f t="shared" si="33"/>
        <v>554105394</v>
      </c>
      <c r="V39" s="22">
        <f t="shared" si="33"/>
        <v>554549145</v>
      </c>
      <c r="W39" s="22">
        <f t="shared" si="33"/>
        <v>555019073</v>
      </c>
      <c r="X39" s="22">
        <f t="shared" si="33"/>
        <v>555450439</v>
      </c>
      <c r="Y39" s="22">
        <f t="shared" si="33"/>
        <v>555909637</v>
      </c>
      <c r="Z39" s="48">
        <f t="shared" ref="Z39" si="34">Z9-Z37-Z38</f>
        <v>556356812</v>
      </c>
      <c r="AA39" s="22">
        <f t="shared" ref="AA39:AB39" si="35">AA9-AA37-AA38</f>
        <v>556816860</v>
      </c>
      <c r="AB39" s="22">
        <f t="shared" si="35"/>
        <v>557255581</v>
      </c>
      <c r="AC39" s="22">
        <f t="shared" ref="AC39:AD39" si="36">AC9-AC37-AC38</f>
        <v>557692319</v>
      </c>
      <c r="AD39" s="22">
        <f t="shared" si="36"/>
        <v>558098892</v>
      </c>
      <c r="AE39" s="22">
        <f t="shared" ref="AE39" si="37">AE9-AE37-AE38</f>
        <v>558537896</v>
      </c>
      <c r="AF39" s="22">
        <f t="shared" ref="AF39:AG39" si="38">AF9-AF37-AF38</f>
        <v>558980923</v>
      </c>
      <c r="AG39" s="97">
        <f t="shared" si="38"/>
        <v>559439597</v>
      </c>
      <c r="AH39" s="86"/>
    </row>
    <row r="40" spans="1:34" ht="18.75" x14ac:dyDescent="0.25">
      <c r="A40" s="10"/>
      <c r="B40" s="14" t="s">
        <v>82</v>
      </c>
      <c r="C40" s="14"/>
      <c r="D40" s="8">
        <f t="shared" ref="D40:I40" si="39">D29+D30</f>
        <v>177409760</v>
      </c>
      <c r="E40" s="62">
        <f t="shared" si="39"/>
        <v>177433224</v>
      </c>
      <c r="F40" s="62">
        <f t="shared" si="39"/>
        <v>177533821</v>
      </c>
      <c r="G40" s="62">
        <f t="shared" si="39"/>
        <v>177627453</v>
      </c>
      <c r="H40" s="62">
        <f t="shared" si="39"/>
        <v>177732381</v>
      </c>
      <c r="I40" s="62">
        <f t="shared" si="39"/>
        <v>177858539</v>
      </c>
      <c r="J40" s="62">
        <f t="shared" ref="J40" si="40">J29+J30</f>
        <v>177980114</v>
      </c>
      <c r="K40" s="62">
        <f t="shared" ref="K40:P40" si="41">K29+K30</f>
        <v>178094720</v>
      </c>
      <c r="L40" s="62">
        <f t="shared" si="41"/>
        <v>178211223</v>
      </c>
      <c r="M40" s="62">
        <f t="shared" si="41"/>
        <v>178339578</v>
      </c>
      <c r="N40" s="62">
        <f t="shared" si="41"/>
        <v>178461720</v>
      </c>
      <c r="O40" s="62">
        <f t="shared" si="41"/>
        <v>178583842</v>
      </c>
      <c r="P40" s="62">
        <f t="shared" si="41"/>
        <v>178699984</v>
      </c>
      <c r="Q40" s="63">
        <f t="shared" ref="Q40:R40" si="42">Q29+Q30</f>
        <v>178829236</v>
      </c>
      <c r="R40" s="62">
        <f t="shared" si="42"/>
        <v>178956120</v>
      </c>
      <c r="S40" s="62">
        <f t="shared" ref="S40:X40" si="43">S29+S30</f>
        <v>179075090</v>
      </c>
      <c r="T40" s="63">
        <f t="shared" si="43"/>
        <v>179188250</v>
      </c>
      <c r="U40" s="62">
        <f t="shared" si="43"/>
        <v>179306986</v>
      </c>
      <c r="V40" s="62">
        <f t="shared" si="43"/>
        <v>179425443</v>
      </c>
      <c r="W40" s="62">
        <f t="shared" si="43"/>
        <v>179552845</v>
      </c>
      <c r="X40" s="62">
        <f t="shared" si="43"/>
        <v>179656752</v>
      </c>
      <c r="Y40" s="62">
        <f t="shared" ref="Y40:Z40" si="44">Y29+Y30</f>
        <v>179780895</v>
      </c>
      <c r="Z40" s="63">
        <f t="shared" si="44"/>
        <v>179897980</v>
      </c>
      <c r="AA40" s="62">
        <f t="shared" ref="AA40:AB40" si="45">AA29+AA30</f>
        <v>180021164</v>
      </c>
      <c r="AB40" s="62">
        <f t="shared" si="45"/>
        <v>180140025</v>
      </c>
      <c r="AC40" s="62">
        <f t="shared" ref="AC40:AD40" si="46">AC29+AC30</f>
        <v>180255018</v>
      </c>
      <c r="AD40" s="62">
        <f t="shared" si="46"/>
        <v>180365434</v>
      </c>
      <c r="AE40" s="62">
        <f t="shared" ref="AE40" si="47">AE29+AE30</f>
        <v>180486798</v>
      </c>
      <c r="AF40" s="62">
        <f t="shared" ref="AF40:AG40" si="48">AF29+AF30</f>
        <v>180606931</v>
      </c>
      <c r="AG40" s="98">
        <f t="shared" si="48"/>
        <v>180728557</v>
      </c>
      <c r="AH40" s="88"/>
    </row>
    <row r="41" spans="1:34" ht="18.75" x14ac:dyDescent="0.25">
      <c r="A41" s="10"/>
      <c r="B41" s="14"/>
      <c r="C41" s="14"/>
      <c r="D41" s="27"/>
      <c r="E41" s="27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47"/>
      <c r="R41" s="27"/>
      <c r="S41" s="8"/>
      <c r="T41" s="64"/>
      <c r="U41" s="27"/>
      <c r="V41" s="27"/>
      <c r="W41" s="27"/>
      <c r="X41" s="27"/>
      <c r="Y41" s="27"/>
      <c r="Z41" s="46"/>
      <c r="AA41" s="27"/>
      <c r="AB41" s="27"/>
      <c r="AC41" s="27"/>
      <c r="AD41" s="27"/>
      <c r="AE41" s="27"/>
      <c r="AF41" s="27"/>
      <c r="AG41" s="47"/>
    </row>
    <row r="42" spans="1:34" ht="18.75" x14ac:dyDescent="0.25">
      <c r="A42" s="10"/>
      <c r="B42" s="15" t="s">
        <v>53</v>
      </c>
      <c r="C42" s="15"/>
      <c r="D42" s="30"/>
      <c r="E42" s="30">
        <f t="shared" ref="E42:J42" si="49">E37-D37</f>
        <v>72302</v>
      </c>
      <c r="F42" s="30">
        <f t="shared" si="49"/>
        <v>83714</v>
      </c>
      <c r="G42" s="30">
        <f t="shared" si="49"/>
        <v>71142</v>
      </c>
      <c r="H42" s="30">
        <f t="shared" si="49"/>
        <v>74162</v>
      </c>
      <c r="I42" s="30">
        <f t="shared" si="49"/>
        <v>67556</v>
      </c>
      <c r="J42" s="30">
        <f t="shared" si="49"/>
        <v>74766</v>
      </c>
      <c r="K42" s="30">
        <f t="shared" ref="K42:P42" si="50">K37-J37</f>
        <v>68847</v>
      </c>
      <c r="L42" s="30">
        <f t="shared" si="50"/>
        <v>72374</v>
      </c>
      <c r="M42" s="30">
        <f t="shared" si="50"/>
        <v>86048</v>
      </c>
      <c r="N42" s="30">
        <f t="shared" si="50"/>
        <v>80651</v>
      </c>
      <c r="O42" s="30">
        <f t="shared" si="50"/>
        <v>80275</v>
      </c>
      <c r="P42" s="30">
        <f t="shared" si="50"/>
        <v>83786</v>
      </c>
      <c r="Q42" s="49">
        <f t="shared" ref="Q42:R42" si="51">Q37-P37</f>
        <v>72222</v>
      </c>
      <c r="R42" s="30">
        <f t="shared" si="51"/>
        <v>60115</v>
      </c>
      <c r="S42" s="30">
        <f t="shared" ref="S42:X42" si="52">S37-R37</f>
        <v>81959</v>
      </c>
      <c r="T42" s="49">
        <f t="shared" si="52"/>
        <v>83722</v>
      </c>
      <c r="U42" s="30">
        <f t="shared" si="52"/>
        <v>81090</v>
      </c>
      <c r="V42" s="30">
        <f t="shared" si="52"/>
        <v>82174</v>
      </c>
      <c r="W42" s="30">
        <f t="shared" si="52"/>
        <v>95354</v>
      </c>
      <c r="X42" s="30">
        <f t="shared" si="52"/>
        <v>68242</v>
      </c>
      <c r="Y42" s="30">
        <f t="shared" ref="Y42:AG42" si="53">Y37-X37</f>
        <v>84606</v>
      </c>
      <c r="Z42" s="49">
        <f t="shared" si="53"/>
        <v>81749</v>
      </c>
      <c r="AA42" s="30">
        <f t="shared" si="53"/>
        <v>90541</v>
      </c>
      <c r="AB42" s="30">
        <f t="shared" si="53"/>
        <v>85931</v>
      </c>
      <c r="AC42" s="30">
        <f t="shared" si="53"/>
        <v>76790</v>
      </c>
      <c r="AD42" s="30">
        <f t="shared" si="53"/>
        <v>86670</v>
      </c>
      <c r="AE42" s="30">
        <f t="shared" si="53"/>
        <v>69321</v>
      </c>
      <c r="AF42" s="30">
        <f t="shared" si="53"/>
        <v>72876</v>
      </c>
      <c r="AG42" s="99">
        <f t="shared" si="53"/>
        <v>73930</v>
      </c>
      <c r="AH42" s="89"/>
    </row>
    <row r="43" spans="1:34" ht="18.75" x14ac:dyDescent="0.25">
      <c r="A43" s="10"/>
      <c r="B43" s="16" t="s">
        <v>55</v>
      </c>
      <c r="C43" s="16"/>
      <c r="D43" s="31"/>
      <c r="E43" s="31">
        <f t="shared" ref="E43:J43" si="54">E40-D40</f>
        <v>23464</v>
      </c>
      <c r="F43" s="31">
        <f t="shared" si="54"/>
        <v>100597</v>
      </c>
      <c r="G43" s="31">
        <f t="shared" si="54"/>
        <v>93632</v>
      </c>
      <c r="H43" s="31">
        <f t="shared" si="54"/>
        <v>104928</v>
      </c>
      <c r="I43" s="31">
        <f t="shared" si="54"/>
        <v>126158</v>
      </c>
      <c r="J43" s="31">
        <f t="shared" si="54"/>
        <v>121575</v>
      </c>
      <c r="K43" s="31">
        <f t="shared" ref="K43:P43" si="55">K40-J40</f>
        <v>114606</v>
      </c>
      <c r="L43" s="31">
        <f t="shared" si="55"/>
        <v>116503</v>
      </c>
      <c r="M43" s="31">
        <f t="shared" si="55"/>
        <v>128355</v>
      </c>
      <c r="N43" s="31">
        <f t="shared" si="55"/>
        <v>122142</v>
      </c>
      <c r="O43" s="31">
        <f t="shared" si="55"/>
        <v>122122</v>
      </c>
      <c r="P43" s="31">
        <f t="shared" si="55"/>
        <v>116142</v>
      </c>
      <c r="Q43" s="50">
        <f t="shared" ref="Q43:R43" si="56">Q40-P40</f>
        <v>129252</v>
      </c>
      <c r="R43" s="31">
        <f t="shared" si="56"/>
        <v>126884</v>
      </c>
      <c r="S43" s="31">
        <f t="shared" ref="S43:X43" si="57">S40-R40</f>
        <v>118970</v>
      </c>
      <c r="T43" s="50">
        <f t="shared" si="57"/>
        <v>113160</v>
      </c>
      <c r="U43" s="31">
        <f t="shared" si="57"/>
        <v>118736</v>
      </c>
      <c r="V43" s="31">
        <f t="shared" si="57"/>
        <v>118457</v>
      </c>
      <c r="W43" s="31">
        <f t="shared" si="57"/>
        <v>127402</v>
      </c>
      <c r="X43" s="31">
        <f t="shared" si="57"/>
        <v>103907</v>
      </c>
      <c r="Y43" s="31">
        <f t="shared" ref="Y43:AG43" si="58">Y40-X40</f>
        <v>124143</v>
      </c>
      <c r="Z43" s="50">
        <f t="shared" si="58"/>
        <v>117085</v>
      </c>
      <c r="AA43" s="31">
        <f t="shared" si="58"/>
        <v>123184</v>
      </c>
      <c r="AB43" s="31">
        <f t="shared" si="58"/>
        <v>118861</v>
      </c>
      <c r="AC43" s="31">
        <f t="shared" si="58"/>
        <v>114993</v>
      </c>
      <c r="AD43" s="31">
        <f t="shared" si="58"/>
        <v>110416</v>
      </c>
      <c r="AE43" s="31">
        <f t="shared" si="58"/>
        <v>121364</v>
      </c>
      <c r="AF43" s="31">
        <f t="shared" si="58"/>
        <v>120133</v>
      </c>
      <c r="AG43" s="100">
        <f t="shared" si="58"/>
        <v>121626</v>
      </c>
      <c r="AH43" s="90"/>
    </row>
    <row r="44" spans="1:34" ht="18.75" x14ac:dyDescent="0.25">
      <c r="A44" s="17" t="s">
        <v>56</v>
      </c>
      <c r="B44" s="18" t="s">
        <v>57</v>
      </c>
      <c r="C44" s="18"/>
      <c r="D44" s="32"/>
      <c r="E44" s="32">
        <f t="shared" ref="E44:J44" si="59">(E38-D38)+E43*0.65</f>
        <v>64625.599999999999</v>
      </c>
      <c r="F44" s="32">
        <f t="shared" si="59"/>
        <v>125051.05</v>
      </c>
      <c r="G44" s="32">
        <f t="shared" si="59"/>
        <v>116241.8</v>
      </c>
      <c r="H44" s="32">
        <f t="shared" si="59"/>
        <v>125998.2</v>
      </c>
      <c r="I44" s="32">
        <f t="shared" si="59"/>
        <v>143518.70000000001</v>
      </c>
      <c r="J44" s="32">
        <f t="shared" si="59"/>
        <v>138705.75</v>
      </c>
      <c r="K44" s="32">
        <f t="shared" ref="K44:R44" si="60">(K38-J38)+K43*0.65</f>
        <v>131151.90000000002</v>
      </c>
      <c r="L44" s="32">
        <f t="shared" si="60"/>
        <v>132763.95000000001</v>
      </c>
      <c r="M44" s="32">
        <f t="shared" si="60"/>
        <v>146198.75</v>
      </c>
      <c r="N44" s="32">
        <f t="shared" si="60"/>
        <v>137425.29999999999</v>
      </c>
      <c r="O44" s="32">
        <f t="shared" si="60"/>
        <v>144716.29999999999</v>
      </c>
      <c r="P44" s="32">
        <f t="shared" si="60"/>
        <v>130090.3</v>
      </c>
      <c r="Q44" s="51">
        <f t="shared" si="60"/>
        <v>146151.79999999999</v>
      </c>
      <c r="R44" s="32">
        <f t="shared" si="60"/>
        <v>144929.60000000001</v>
      </c>
      <c r="S44" s="32">
        <f t="shared" ref="S44:AG44" si="61">(S38-R38)+S43*0.65</f>
        <v>134640.5</v>
      </c>
      <c r="T44" s="51">
        <f t="shared" si="61"/>
        <v>126611</v>
      </c>
      <c r="U44" s="32">
        <f t="shared" si="61"/>
        <v>134274.40000000002</v>
      </c>
      <c r="V44" s="32">
        <f t="shared" si="61"/>
        <v>136873.04999999999</v>
      </c>
      <c r="W44" s="32">
        <f t="shared" si="61"/>
        <v>143134.29999999999</v>
      </c>
      <c r="X44" s="32">
        <f t="shared" si="61"/>
        <v>121334.55</v>
      </c>
      <c r="Y44" s="32">
        <f t="shared" si="61"/>
        <v>139374.95000000001</v>
      </c>
      <c r="Z44" s="51">
        <f t="shared" si="61"/>
        <v>132618.25</v>
      </c>
      <c r="AA44" s="32">
        <f t="shared" si="61"/>
        <v>140700.6</v>
      </c>
      <c r="AB44" s="32">
        <f t="shared" si="61"/>
        <v>134345.65000000002</v>
      </c>
      <c r="AC44" s="32">
        <f t="shared" si="61"/>
        <v>130157.45</v>
      </c>
      <c r="AD44" s="32">
        <f t="shared" si="61"/>
        <v>126751.40000000001</v>
      </c>
      <c r="AE44" s="32">
        <f t="shared" si="61"/>
        <v>136682.6</v>
      </c>
      <c r="AF44" s="32">
        <f t="shared" si="61"/>
        <v>137841.45000000001</v>
      </c>
      <c r="AG44" s="101">
        <f t="shared" si="61"/>
        <v>138270.90000000002</v>
      </c>
      <c r="AH44" s="89"/>
    </row>
    <row r="45" spans="1:34" ht="18.75" x14ac:dyDescent="0.25">
      <c r="A45" s="17" t="s">
        <v>58</v>
      </c>
      <c r="B45" s="19" t="s">
        <v>59</v>
      </c>
      <c r="C45" s="19"/>
      <c r="D45" s="33"/>
      <c r="E45" s="33">
        <f t="shared" ref="E45:J45" si="62">E39-D39-0.65*E43-E42</f>
        <v>379515.4</v>
      </c>
      <c r="F45" s="33">
        <f t="shared" si="62"/>
        <v>304933.95</v>
      </c>
      <c r="G45" s="33">
        <f t="shared" si="62"/>
        <v>306303.2</v>
      </c>
      <c r="H45" s="33">
        <f t="shared" si="62"/>
        <v>307117.8</v>
      </c>
      <c r="I45" s="33">
        <f t="shared" si="62"/>
        <v>292100.3</v>
      </c>
      <c r="J45" s="33">
        <f t="shared" si="62"/>
        <v>298160.25</v>
      </c>
      <c r="K45" s="33">
        <f t="shared" ref="K45:P45" si="63">K39-J39-0.65*K43-K42</f>
        <v>291809.09999999998</v>
      </c>
      <c r="L45" s="33">
        <f t="shared" si="63"/>
        <v>286108.05</v>
      </c>
      <c r="M45" s="33">
        <f t="shared" si="63"/>
        <v>301274.25</v>
      </c>
      <c r="N45" s="33">
        <f t="shared" si="63"/>
        <v>290003.7</v>
      </c>
      <c r="O45" s="33">
        <f t="shared" si="63"/>
        <v>281270.7</v>
      </c>
      <c r="P45" s="33">
        <f t="shared" si="63"/>
        <v>282695.7</v>
      </c>
      <c r="Q45" s="52">
        <f t="shared" ref="Q45:R45" si="64">Q39-P39-0.65*Q43-Q42</f>
        <v>307323.2</v>
      </c>
      <c r="R45" s="33">
        <f t="shared" si="64"/>
        <v>320096.40000000002</v>
      </c>
      <c r="S45" s="33">
        <f t="shared" ref="S45:X45" si="65">S39-R39-0.65*S43-S42</f>
        <v>271177.5</v>
      </c>
      <c r="T45" s="52">
        <f t="shared" si="65"/>
        <v>231088</v>
      </c>
      <c r="U45" s="33">
        <f t="shared" si="65"/>
        <v>275976.59999999998</v>
      </c>
      <c r="V45" s="33">
        <f t="shared" si="65"/>
        <v>284579.95</v>
      </c>
      <c r="W45" s="33">
        <f t="shared" si="65"/>
        <v>291762.7</v>
      </c>
      <c r="X45" s="33">
        <f t="shared" si="65"/>
        <v>295584.45</v>
      </c>
      <c r="Y45" s="33">
        <f t="shared" ref="Y45:AG45" si="66">Y39-X39-0.65*Y43-Y42</f>
        <v>293899.05</v>
      </c>
      <c r="Z45" s="52">
        <f t="shared" si="66"/>
        <v>289320.75</v>
      </c>
      <c r="AA45" s="33">
        <f t="shared" si="66"/>
        <v>289437.40000000002</v>
      </c>
      <c r="AB45" s="33">
        <f t="shared" si="66"/>
        <v>275530.34999999998</v>
      </c>
      <c r="AC45" s="33">
        <f t="shared" si="66"/>
        <v>285202.55</v>
      </c>
      <c r="AD45" s="33">
        <f t="shared" si="66"/>
        <v>248132.59999999998</v>
      </c>
      <c r="AE45" s="33">
        <f t="shared" si="66"/>
        <v>290796.40000000002</v>
      </c>
      <c r="AF45" s="33">
        <f t="shared" si="66"/>
        <v>292064.55</v>
      </c>
      <c r="AG45" s="102">
        <f t="shared" si="66"/>
        <v>305687.09999999998</v>
      </c>
      <c r="AH45" s="89"/>
    </row>
    <row r="46" spans="1:34" ht="18.75" x14ac:dyDescent="0.25">
      <c r="A46" s="17" t="s">
        <v>60</v>
      </c>
      <c r="B46" s="20" t="s">
        <v>61</v>
      </c>
      <c r="C46" s="20"/>
      <c r="D46" s="34"/>
      <c r="E46" s="34">
        <f t="shared" ref="E46:J46" si="67">E36-D36</f>
        <v>266973</v>
      </c>
      <c r="F46" s="34">
        <f t="shared" si="67"/>
        <v>223715</v>
      </c>
      <c r="G46" s="34">
        <f t="shared" si="67"/>
        <v>227692</v>
      </c>
      <c r="H46" s="34">
        <f t="shared" si="67"/>
        <v>204143</v>
      </c>
      <c r="I46" s="34">
        <f t="shared" si="67"/>
        <v>297297</v>
      </c>
      <c r="J46" s="34">
        <f t="shared" si="67"/>
        <v>190498</v>
      </c>
      <c r="K46" s="34">
        <f t="shared" ref="K46:P46" si="68">K36-J36</f>
        <v>158074</v>
      </c>
      <c r="L46" s="34">
        <f t="shared" si="68"/>
        <v>192609</v>
      </c>
      <c r="M46" s="34">
        <f t="shared" si="68"/>
        <v>180650</v>
      </c>
      <c r="N46" s="34">
        <f t="shared" si="68"/>
        <v>216111</v>
      </c>
      <c r="O46" s="34">
        <f t="shared" si="68"/>
        <v>292101</v>
      </c>
      <c r="P46" s="34">
        <f t="shared" si="68"/>
        <v>234165</v>
      </c>
      <c r="Q46" s="53">
        <f t="shared" ref="Q46:R46" si="69">Q36-P36</f>
        <v>319763</v>
      </c>
      <c r="R46" s="34">
        <f t="shared" si="69"/>
        <v>307752</v>
      </c>
      <c r="S46" s="34">
        <f t="shared" ref="S46:X46" si="70">S36-R36</f>
        <v>213675</v>
      </c>
      <c r="T46" s="53">
        <f t="shared" si="70"/>
        <v>195339</v>
      </c>
      <c r="U46" s="34">
        <f t="shared" si="70"/>
        <v>242513</v>
      </c>
      <c r="V46" s="34">
        <f t="shared" si="70"/>
        <v>188578</v>
      </c>
      <c r="W46" s="34">
        <f t="shared" si="70"/>
        <v>175787</v>
      </c>
      <c r="X46" s="34">
        <f t="shared" si="70"/>
        <v>217100</v>
      </c>
      <c r="Y46" s="34">
        <f t="shared" ref="Y46:AG46" si="71">Y36-X36</f>
        <v>169576</v>
      </c>
      <c r="Z46" s="53">
        <f t="shared" si="71"/>
        <v>153283</v>
      </c>
      <c r="AA46" s="34">
        <f t="shared" si="71"/>
        <v>236017</v>
      </c>
      <c r="AB46" s="34">
        <f t="shared" si="71"/>
        <v>195796</v>
      </c>
      <c r="AC46" s="34">
        <f t="shared" si="71"/>
        <v>171302</v>
      </c>
      <c r="AD46" s="34">
        <f t="shared" si="71"/>
        <v>163502</v>
      </c>
      <c r="AE46" s="34">
        <f t="shared" si="71"/>
        <v>245313</v>
      </c>
      <c r="AF46" s="34">
        <f t="shared" si="71"/>
        <v>278331</v>
      </c>
      <c r="AG46" s="103">
        <f t="shared" si="71"/>
        <v>206175</v>
      </c>
      <c r="AH46" s="89"/>
    </row>
    <row r="47" spans="1:34" ht="18.75" x14ac:dyDescent="0.25">
      <c r="A47" s="17" t="s">
        <v>62</v>
      </c>
      <c r="B47" s="21" t="s">
        <v>63</v>
      </c>
      <c r="C47" s="21"/>
      <c r="D47" s="35"/>
      <c r="E47" s="35">
        <f t="shared" ref="E47:F47" si="72">E44+E45+E46</f>
        <v>711114</v>
      </c>
      <c r="F47" s="35">
        <f t="shared" si="72"/>
        <v>653700</v>
      </c>
      <c r="G47" s="35">
        <f t="shared" ref="G47:H47" si="73">G44+G45+G46</f>
        <v>650237</v>
      </c>
      <c r="H47" s="35">
        <f t="shared" si="73"/>
        <v>637259</v>
      </c>
      <c r="I47" s="35">
        <f t="shared" ref="I47:J47" si="74">I44+I45+I46</f>
        <v>732916</v>
      </c>
      <c r="J47" s="35">
        <f t="shared" si="74"/>
        <v>627364</v>
      </c>
      <c r="K47" s="35">
        <f t="shared" ref="K47:R47" si="75">K44+K45+K46</f>
        <v>581035</v>
      </c>
      <c r="L47" s="35">
        <f t="shared" si="75"/>
        <v>611481</v>
      </c>
      <c r="M47" s="35">
        <f t="shared" si="75"/>
        <v>628123</v>
      </c>
      <c r="N47" s="35">
        <f t="shared" si="75"/>
        <v>643540</v>
      </c>
      <c r="O47" s="35">
        <f t="shared" si="75"/>
        <v>718088</v>
      </c>
      <c r="P47" s="35">
        <f t="shared" si="75"/>
        <v>646951</v>
      </c>
      <c r="Q47" s="54">
        <f t="shared" si="75"/>
        <v>773238</v>
      </c>
      <c r="R47" s="35">
        <f t="shared" si="75"/>
        <v>772778</v>
      </c>
      <c r="S47" s="35">
        <f t="shared" ref="S47:T47" si="76">S44+S45+S46</f>
        <v>619493</v>
      </c>
      <c r="T47" s="54">
        <f t="shared" si="76"/>
        <v>553038</v>
      </c>
      <c r="U47" s="35">
        <f t="shared" ref="U47:V47" si="77">U44+U45+U46</f>
        <v>652764</v>
      </c>
      <c r="V47" s="35">
        <f t="shared" si="77"/>
        <v>610031</v>
      </c>
      <c r="W47" s="35">
        <f t="shared" ref="W47" si="78">W44+W45+W46</f>
        <v>610684</v>
      </c>
      <c r="X47" s="35">
        <f t="shared" ref="X47:Y47" si="79">X44+X45+X46</f>
        <v>634019</v>
      </c>
      <c r="Y47" s="35">
        <f t="shared" si="79"/>
        <v>602850</v>
      </c>
      <c r="Z47" s="54">
        <f t="shared" ref="Z47" si="80">Z44+Z45+Z46</f>
        <v>575222</v>
      </c>
      <c r="AA47" s="35">
        <f t="shared" ref="AA47:AB47" si="81">AA44+AA45+AA46</f>
        <v>666155</v>
      </c>
      <c r="AB47" s="35">
        <f t="shared" si="81"/>
        <v>605672</v>
      </c>
      <c r="AC47" s="35">
        <f t="shared" ref="AC47:AD47" si="82">AC44+AC45+AC46</f>
        <v>586662</v>
      </c>
      <c r="AD47" s="35">
        <f t="shared" si="82"/>
        <v>538386</v>
      </c>
      <c r="AE47" s="35">
        <f t="shared" ref="AE47" si="83">AE44+AE45+AE46</f>
        <v>672792</v>
      </c>
      <c r="AF47" s="35">
        <f t="shared" ref="AF47:AG47" si="84">AF44+AF45+AF46</f>
        <v>708237</v>
      </c>
      <c r="AG47" s="104">
        <f t="shared" si="84"/>
        <v>650133</v>
      </c>
      <c r="AH47" s="89"/>
    </row>
    <row r="48" spans="1:34" x14ac:dyDescent="0.25">
      <c r="A48" s="22"/>
      <c r="B48" s="22"/>
      <c r="C48" s="22"/>
      <c r="D48" s="27"/>
      <c r="E48" s="27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47"/>
      <c r="R48" s="27"/>
      <c r="S48" s="8"/>
      <c r="T48" s="64"/>
      <c r="U48" s="27"/>
      <c r="V48" s="27"/>
      <c r="W48" s="27"/>
      <c r="X48" s="27"/>
      <c r="Y48" s="27"/>
      <c r="Z48" s="46"/>
      <c r="AA48" s="27"/>
      <c r="AB48" s="27"/>
      <c r="AC48" s="27"/>
      <c r="AD48" s="27"/>
      <c r="AE48" s="27"/>
      <c r="AF48" s="27"/>
      <c r="AG48" s="47"/>
    </row>
    <row r="49" spans="1:34" ht="15.75" x14ac:dyDescent="0.25">
      <c r="A49" s="7"/>
      <c r="B49" s="7" t="s">
        <v>64</v>
      </c>
      <c r="C49" s="7"/>
      <c r="D49" s="36"/>
      <c r="E49" s="36">
        <f t="shared" ref="E49:G53" si="85">E24-D24</f>
        <v>15960</v>
      </c>
      <c r="F49" s="36">
        <f t="shared" si="85"/>
        <v>16414</v>
      </c>
      <c r="G49" s="36">
        <f t="shared" si="85"/>
        <v>13240</v>
      </c>
      <c r="H49" s="36">
        <f t="shared" ref="H49:R49" si="86">H24-G24</f>
        <v>11849</v>
      </c>
      <c r="I49" s="36">
        <f t="shared" si="86"/>
        <v>13192</v>
      </c>
      <c r="J49" s="36">
        <f t="shared" si="86"/>
        <v>15285</v>
      </c>
      <c r="K49" s="36">
        <f t="shared" si="86"/>
        <v>10187</v>
      </c>
      <c r="L49" s="36">
        <f t="shared" si="86"/>
        <v>12446</v>
      </c>
      <c r="M49" s="36">
        <f t="shared" si="86"/>
        <v>16245</v>
      </c>
      <c r="N49" s="36">
        <f t="shared" si="86"/>
        <v>15553</v>
      </c>
      <c r="O49" s="36">
        <f t="shared" si="86"/>
        <v>15208</v>
      </c>
      <c r="P49" s="36">
        <f t="shared" si="86"/>
        <v>14795</v>
      </c>
      <c r="Q49" s="55">
        <f t="shared" si="86"/>
        <v>14461</v>
      </c>
      <c r="R49" s="36">
        <f t="shared" si="86"/>
        <v>15236</v>
      </c>
      <c r="S49" s="36">
        <f t="shared" ref="S49:T53" si="87">S24-R24</f>
        <v>12430</v>
      </c>
      <c r="T49" s="55">
        <f t="shared" ref="T49:Y49" si="88">T24-S24</f>
        <v>15828</v>
      </c>
      <c r="U49" s="36">
        <f t="shared" si="88"/>
        <v>14105</v>
      </c>
      <c r="V49" s="36">
        <f t="shared" si="88"/>
        <v>15039</v>
      </c>
      <c r="W49" s="36">
        <f t="shared" si="88"/>
        <v>15544</v>
      </c>
      <c r="X49" s="36">
        <f t="shared" si="88"/>
        <v>14492</v>
      </c>
      <c r="Y49" s="36">
        <f t="shared" si="88"/>
        <v>12720</v>
      </c>
      <c r="Z49" s="55">
        <f t="shared" ref="Z49:AG49" si="89">Z24-Y24</f>
        <v>12435</v>
      </c>
      <c r="AA49" s="36">
        <f t="shared" si="89"/>
        <v>13305</v>
      </c>
      <c r="AB49" s="36">
        <f t="shared" si="89"/>
        <v>12312</v>
      </c>
      <c r="AC49" s="36">
        <f t="shared" si="89"/>
        <v>16653</v>
      </c>
      <c r="AD49" s="36">
        <f t="shared" si="89"/>
        <v>16518</v>
      </c>
      <c r="AE49" s="36">
        <f t="shared" si="89"/>
        <v>14795</v>
      </c>
      <c r="AF49" s="36">
        <f t="shared" si="89"/>
        <v>16818</v>
      </c>
      <c r="AG49" s="105">
        <f t="shared" si="89"/>
        <v>16384</v>
      </c>
      <c r="AH49" s="91"/>
    </row>
    <row r="50" spans="1:34" ht="15.75" x14ac:dyDescent="0.25">
      <c r="A50" s="7"/>
      <c r="B50" s="7" t="s">
        <v>65</v>
      </c>
      <c r="C50" s="7"/>
      <c r="D50" s="36"/>
      <c r="E50" s="36">
        <f t="shared" si="85"/>
        <v>17165</v>
      </c>
      <c r="F50" s="36">
        <f t="shared" si="85"/>
        <v>17201</v>
      </c>
      <c r="G50" s="36">
        <f t="shared" si="85"/>
        <v>16306</v>
      </c>
      <c r="H50" s="36">
        <f t="shared" ref="H50:R50" si="90">H25-G25</f>
        <v>17169</v>
      </c>
      <c r="I50" s="36">
        <f t="shared" si="90"/>
        <v>15533</v>
      </c>
      <c r="J50" s="36">
        <f t="shared" si="90"/>
        <v>15956</v>
      </c>
      <c r="K50" s="36">
        <f t="shared" si="90"/>
        <v>17981</v>
      </c>
      <c r="L50" s="36">
        <f t="shared" si="90"/>
        <v>17656</v>
      </c>
      <c r="M50" s="36">
        <f t="shared" si="90"/>
        <v>16772</v>
      </c>
      <c r="N50" s="36">
        <f t="shared" si="90"/>
        <v>17042</v>
      </c>
      <c r="O50" s="36">
        <f t="shared" si="90"/>
        <v>14934</v>
      </c>
      <c r="P50" s="36">
        <f t="shared" si="90"/>
        <v>16765</v>
      </c>
      <c r="Q50" s="55">
        <f t="shared" si="90"/>
        <v>17656</v>
      </c>
      <c r="R50" s="36">
        <f t="shared" si="90"/>
        <v>17032</v>
      </c>
      <c r="S50" s="36">
        <f t="shared" si="87"/>
        <v>16325</v>
      </c>
      <c r="T50" s="55">
        <f t="shared" si="87"/>
        <v>7776</v>
      </c>
      <c r="U50" s="36">
        <f t="shared" ref="U50:AG50" si="91">U25-T25</f>
        <v>16673</v>
      </c>
      <c r="V50" s="36">
        <f t="shared" si="91"/>
        <v>16871</v>
      </c>
      <c r="W50" s="36">
        <f t="shared" si="91"/>
        <v>17454</v>
      </c>
      <c r="X50" s="36">
        <f t="shared" si="91"/>
        <v>15931</v>
      </c>
      <c r="Y50" s="36">
        <f t="shared" si="91"/>
        <v>15919</v>
      </c>
      <c r="Z50" s="55">
        <f t="shared" si="91"/>
        <v>17857</v>
      </c>
      <c r="AA50" s="36">
        <f t="shared" si="91"/>
        <v>16217</v>
      </c>
      <c r="AB50" s="36">
        <f t="shared" si="91"/>
        <v>15031</v>
      </c>
      <c r="AC50" s="36">
        <f t="shared" si="91"/>
        <v>15772</v>
      </c>
      <c r="AD50" s="36">
        <f t="shared" si="91"/>
        <v>9826</v>
      </c>
      <c r="AE50" s="36">
        <f t="shared" si="91"/>
        <v>16100</v>
      </c>
      <c r="AF50" s="36">
        <f t="shared" si="91"/>
        <v>15274</v>
      </c>
      <c r="AG50" s="105">
        <f t="shared" si="91"/>
        <v>16495</v>
      </c>
      <c r="AH50" s="91"/>
    </row>
    <row r="51" spans="1:34" ht="15.75" x14ac:dyDescent="0.25">
      <c r="A51" s="7"/>
      <c r="B51" s="7" t="s">
        <v>66</v>
      </c>
      <c r="C51" s="7"/>
      <c r="D51" s="36"/>
      <c r="E51" s="36">
        <f t="shared" si="85"/>
        <v>3894</v>
      </c>
      <c r="F51" s="36">
        <f t="shared" si="85"/>
        <v>3084</v>
      </c>
      <c r="G51" s="36">
        <f t="shared" si="85"/>
        <v>3044</v>
      </c>
      <c r="H51" s="36">
        <f t="shared" ref="H51:R51" si="92">H26-G26</f>
        <v>2945</v>
      </c>
      <c r="I51" s="36">
        <f t="shared" si="92"/>
        <v>2177</v>
      </c>
      <c r="J51" s="36">
        <f t="shared" si="92"/>
        <v>3200</v>
      </c>
      <c r="K51" s="36">
        <f t="shared" si="92"/>
        <v>3750</v>
      </c>
      <c r="L51" s="36">
        <f t="shared" si="92"/>
        <v>3224</v>
      </c>
      <c r="M51" s="36">
        <f t="shared" si="92"/>
        <v>2677</v>
      </c>
      <c r="N51" s="36">
        <f t="shared" si="92"/>
        <v>1597</v>
      </c>
      <c r="O51" s="36">
        <f t="shared" si="92"/>
        <v>2193</v>
      </c>
      <c r="P51" s="36">
        <f t="shared" si="92"/>
        <v>3105</v>
      </c>
      <c r="Q51" s="55">
        <f t="shared" si="92"/>
        <v>3544</v>
      </c>
      <c r="R51" s="36">
        <f t="shared" si="92"/>
        <v>3370</v>
      </c>
      <c r="S51" s="36">
        <f t="shared" si="87"/>
        <v>3554</v>
      </c>
      <c r="T51" s="55">
        <f t="shared" si="87"/>
        <v>3859</v>
      </c>
      <c r="U51" s="36">
        <f t="shared" ref="U51:AG51" si="93">U26-T26</f>
        <v>3496</v>
      </c>
      <c r="V51" s="36">
        <f t="shared" si="93"/>
        <v>3129</v>
      </c>
      <c r="W51" s="36">
        <f t="shared" si="93"/>
        <v>3325</v>
      </c>
      <c r="X51" s="36">
        <f t="shared" si="93"/>
        <v>2696</v>
      </c>
      <c r="Y51" s="36">
        <f t="shared" si="93"/>
        <v>2933</v>
      </c>
      <c r="Z51" s="55">
        <f t="shared" si="93"/>
        <v>2984</v>
      </c>
      <c r="AA51" s="36">
        <f t="shared" si="93"/>
        <v>2888</v>
      </c>
      <c r="AB51" s="36">
        <f t="shared" si="93"/>
        <v>2731</v>
      </c>
      <c r="AC51" s="36">
        <f t="shared" si="93"/>
        <v>3311</v>
      </c>
      <c r="AD51" s="36">
        <f t="shared" si="93"/>
        <v>4002</v>
      </c>
      <c r="AE51" s="36">
        <f t="shared" si="93"/>
        <v>3768</v>
      </c>
      <c r="AF51" s="36">
        <f t="shared" si="93"/>
        <v>3738</v>
      </c>
      <c r="AG51" s="105">
        <f t="shared" si="93"/>
        <v>4053</v>
      </c>
      <c r="AH51" s="91"/>
    </row>
    <row r="52" spans="1:34" ht="15.75" x14ac:dyDescent="0.25">
      <c r="A52" s="7"/>
      <c r="B52" s="7" t="s">
        <v>67</v>
      </c>
      <c r="C52" s="7"/>
      <c r="D52" s="36"/>
      <c r="E52" s="36">
        <f t="shared" si="85"/>
        <v>55068</v>
      </c>
      <c r="F52" s="36">
        <f t="shared" si="85"/>
        <v>55372</v>
      </c>
      <c r="G52" s="36">
        <f t="shared" si="85"/>
        <v>53917</v>
      </c>
      <c r="H52" s="36">
        <f t="shared" ref="H52:R52" si="94">H27-G27</f>
        <v>52931</v>
      </c>
      <c r="I52" s="36">
        <f t="shared" si="94"/>
        <v>50041</v>
      </c>
      <c r="J52" s="36">
        <f t="shared" si="94"/>
        <v>52894</v>
      </c>
      <c r="K52" s="36">
        <f t="shared" si="94"/>
        <v>55569</v>
      </c>
      <c r="L52" s="36">
        <f t="shared" si="94"/>
        <v>54772</v>
      </c>
      <c r="M52" s="36">
        <f t="shared" si="94"/>
        <v>58039</v>
      </c>
      <c r="N52" s="36">
        <f t="shared" si="94"/>
        <v>54380</v>
      </c>
      <c r="O52" s="36">
        <f t="shared" si="94"/>
        <v>52309</v>
      </c>
      <c r="P52" s="36">
        <f t="shared" si="94"/>
        <v>43796</v>
      </c>
      <c r="Q52" s="55">
        <f t="shared" si="94"/>
        <v>59157</v>
      </c>
      <c r="R52" s="36">
        <f t="shared" si="94"/>
        <v>54532</v>
      </c>
      <c r="S52" s="36">
        <f t="shared" si="87"/>
        <v>51968</v>
      </c>
      <c r="T52" s="55">
        <f t="shared" si="87"/>
        <v>47349</v>
      </c>
      <c r="U52" s="36">
        <f t="shared" ref="U52:AG52" si="95">U27-T27</f>
        <v>53951</v>
      </c>
      <c r="V52" s="36">
        <f t="shared" si="95"/>
        <v>54353</v>
      </c>
      <c r="W52" s="36">
        <f t="shared" si="95"/>
        <v>61552</v>
      </c>
      <c r="X52" s="36">
        <f t="shared" si="95"/>
        <v>54581</v>
      </c>
      <c r="Y52" s="36">
        <f t="shared" si="95"/>
        <v>59525</v>
      </c>
      <c r="Z52" s="55">
        <f t="shared" si="95"/>
        <v>58412</v>
      </c>
      <c r="AA52" s="36">
        <f t="shared" si="95"/>
        <v>58562</v>
      </c>
      <c r="AB52" s="36">
        <f t="shared" si="95"/>
        <v>58600</v>
      </c>
      <c r="AC52" s="36">
        <f t="shared" si="95"/>
        <v>58323</v>
      </c>
      <c r="AD52" s="36">
        <f t="shared" si="95"/>
        <v>55704</v>
      </c>
      <c r="AE52" s="36">
        <f t="shared" si="95"/>
        <v>55035</v>
      </c>
      <c r="AF52" s="36">
        <f t="shared" si="95"/>
        <v>57027</v>
      </c>
      <c r="AG52" s="105">
        <f t="shared" si="95"/>
        <v>57242</v>
      </c>
      <c r="AH52" s="91"/>
    </row>
    <row r="53" spans="1:34" ht="15.75" x14ac:dyDescent="0.25">
      <c r="A53" s="7"/>
      <c r="B53" s="7" t="s">
        <v>68</v>
      </c>
      <c r="C53" s="7"/>
      <c r="D53" s="27"/>
      <c r="E53" s="36">
        <f t="shared" si="85"/>
        <v>4165</v>
      </c>
      <c r="F53" s="36">
        <f t="shared" si="85"/>
        <v>4201</v>
      </c>
      <c r="G53" s="36">
        <f t="shared" si="85"/>
        <v>4031</v>
      </c>
      <c r="H53" s="36">
        <f t="shared" ref="H53:R53" si="96">H28-G28</f>
        <v>4093</v>
      </c>
      <c r="I53" s="36">
        <f t="shared" si="96"/>
        <v>3796</v>
      </c>
      <c r="J53" s="36">
        <f t="shared" si="96"/>
        <v>4068</v>
      </c>
      <c r="K53" s="36">
        <f t="shared" si="96"/>
        <v>4202</v>
      </c>
      <c r="L53" s="36">
        <f t="shared" si="96"/>
        <v>4150</v>
      </c>
      <c r="M53" s="36">
        <f t="shared" si="96"/>
        <v>4407</v>
      </c>
      <c r="N53" s="36">
        <f t="shared" si="96"/>
        <v>4176</v>
      </c>
      <c r="O53" s="36">
        <f t="shared" si="96"/>
        <v>3974</v>
      </c>
      <c r="P53" s="36">
        <f t="shared" si="96"/>
        <v>4170</v>
      </c>
      <c r="Q53" s="55">
        <f t="shared" si="96"/>
        <v>4137</v>
      </c>
      <c r="R53" s="36">
        <f t="shared" si="96"/>
        <v>4282</v>
      </c>
      <c r="S53" s="36">
        <f t="shared" si="87"/>
        <v>3924</v>
      </c>
      <c r="T53" s="55">
        <f t="shared" si="87"/>
        <v>3725</v>
      </c>
      <c r="U53" s="36">
        <f t="shared" ref="U53:AG53" si="97">U28-T28</f>
        <v>4191</v>
      </c>
      <c r="V53" s="36">
        <f t="shared" si="97"/>
        <v>4191</v>
      </c>
      <c r="W53" s="36">
        <f t="shared" si="97"/>
        <v>4631</v>
      </c>
      <c r="X53" s="36">
        <f t="shared" si="97"/>
        <v>4200</v>
      </c>
      <c r="Y53" s="36">
        <f t="shared" si="97"/>
        <v>4515</v>
      </c>
      <c r="Z53" s="55">
        <f t="shared" si="97"/>
        <v>4440</v>
      </c>
      <c r="AA53" s="36">
        <f t="shared" si="97"/>
        <v>4510</v>
      </c>
      <c r="AB53" s="36">
        <f t="shared" si="97"/>
        <v>4522</v>
      </c>
      <c r="AC53" s="36">
        <f t="shared" si="97"/>
        <v>4481</v>
      </c>
      <c r="AD53" s="36">
        <f t="shared" si="97"/>
        <v>4430</v>
      </c>
      <c r="AE53" s="36">
        <f t="shared" si="97"/>
        <v>4213</v>
      </c>
      <c r="AF53" s="36">
        <f t="shared" si="97"/>
        <v>4302</v>
      </c>
      <c r="AG53" s="105">
        <f t="shared" si="97"/>
        <v>4355</v>
      </c>
      <c r="AH53" s="91"/>
    </row>
    <row r="54" spans="1:34" ht="18.75" x14ac:dyDescent="0.25">
      <c r="A54" s="17" t="s">
        <v>69</v>
      </c>
      <c r="B54" s="23" t="s">
        <v>70</v>
      </c>
      <c r="C54" s="23"/>
      <c r="D54" s="37"/>
      <c r="E54" s="37">
        <f t="shared" ref="E54:F54" si="98">SUM(E49:E53)</f>
        <v>96252</v>
      </c>
      <c r="F54" s="37">
        <f t="shared" si="98"/>
        <v>96272</v>
      </c>
      <c r="G54" s="37">
        <f t="shared" ref="G54:H54" si="99">SUM(G49:G53)</f>
        <v>90538</v>
      </c>
      <c r="H54" s="37">
        <f t="shared" si="99"/>
        <v>88987</v>
      </c>
      <c r="I54" s="37">
        <f t="shared" ref="I54:J54" si="100">SUM(I49:I53)</f>
        <v>84739</v>
      </c>
      <c r="J54" s="37">
        <f t="shared" si="100"/>
        <v>91403</v>
      </c>
      <c r="K54" s="37">
        <f t="shared" ref="K54:L54" si="101">SUM(K49:K53)</f>
        <v>91689</v>
      </c>
      <c r="L54" s="37">
        <f t="shared" si="101"/>
        <v>92248</v>
      </c>
      <c r="M54" s="37">
        <f t="shared" ref="M54:N54" si="102">SUM(M49:M53)</f>
        <v>98140</v>
      </c>
      <c r="N54" s="37">
        <f t="shared" si="102"/>
        <v>92748</v>
      </c>
      <c r="O54" s="37">
        <f t="shared" ref="O54:P54" si="103">SUM(O49:O53)</f>
        <v>88618</v>
      </c>
      <c r="P54" s="37">
        <f t="shared" si="103"/>
        <v>82631</v>
      </c>
      <c r="Q54" s="56">
        <f t="shared" ref="Q54:R54" si="104">SUM(Q49:Q53)</f>
        <v>98955</v>
      </c>
      <c r="R54" s="37">
        <f t="shared" si="104"/>
        <v>94452</v>
      </c>
      <c r="S54" s="37">
        <f t="shared" ref="S54:T54" si="105">SUM(S49:S53)</f>
        <v>88201</v>
      </c>
      <c r="T54" s="56">
        <f t="shared" si="105"/>
        <v>78537</v>
      </c>
      <c r="U54" s="37">
        <f t="shared" ref="U54:V54" si="106">SUM(U49:U53)</f>
        <v>92416</v>
      </c>
      <c r="V54" s="37">
        <f t="shared" si="106"/>
        <v>93583</v>
      </c>
      <c r="W54" s="37">
        <f t="shared" ref="W54" si="107">SUM(W49:W53)</f>
        <v>102506</v>
      </c>
      <c r="X54" s="37">
        <f t="shared" ref="X54:Y54" si="108">SUM(X49:X53)</f>
        <v>91900</v>
      </c>
      <c r="Y54" s="37">
        <f t="shared" si="108"/>
        <v>95612</v>
      </c>
      <c r="Z54" s="56">
        <f t="shared" ref="Z54" si="109">SUM(Z49:Z53)</f>
        <v>96128</v>
      </c>
      <c r="AA54" s="37">
        <f t="shared" ref="AA54:AB54" si="110">SUM(AA49:AA53)</f>
        <v>95482</v>
      </c>
      <c r="AB54" s="37">
        <f t="shared" si="110"/>
        <v>93196</v>
      </c>
      <c r="AC54" s="37">
        <f t="shared" ref="AC54:AD54" si="111">SUM(AC49:AC53)</f>
        <v>98540</v>
      </c>
      <c r="AD54" s="37">
        <f t="shared" si="111"/>
        <v>90480</v>
      </c>
      <c r="AE54" s="37">
        <f t="shared" ref="AE54" si="112">SUM(AE49:AE53)</f>
        <v>93911</v>
      </c>
      <c r="AF54" s="37">
        <f t="shared" ref="AF54:AG54" si="113">SUM(AF49:AF53)</f>
        <v>97159</v>
      </c>
      <c r="AG54" s="106">
        <f t="shared" si="113"/>
        <v>98529</v>
      </c>
      <c r="AH54" s="86"/>
    </row>
    <row r="55" spans="1:34" ht="18.75" x14ac:dyDescent="0.25">
      <c r="A55" s="10"/>
      <c r="B55" s="17" t="s">
        <v>71</v>
      </c>
      <c r="C55" s="17"/>
      <c r="D55" s="41"/>
      <c r="E55" s="41">
        <v>42</v>
      </c>
      <c r="F55" s="41">
        <v>43</v>
      </c>
      <c r="G55" s="41">
        <v>33</v>
      </c>
      <c r="H55" s="41">
        <v>38</v>
      </c>
      <c r="I55" s="41">
        <v>37</v>
      </c>
      <c r="J55" s="41">
        <v>42</v>
      </c>
      <c r="K55" s="41">
        <v>38</v>
      </c>
      <c r="L55" s="41">
        <v>38</v>
      </c>
      <c r="M55" s="41">
        <v>43</v>
      </c>
      <c r="N55" s="41">
        <v>46</v>
      </c>
      <c r="O55" s="41">
        <v>43</v>
      </c>
      <c r="P55" s="41">
        <v>48</v>
      </c>
      <c r="Q55" s="44">
        <v>44</v>
      </c>
      <c r="R55" s="41">
        <v>45</v>
      </c>
      <c r="S55" s="28">
        <v>41</v>
      </c>
      <c r="T55" s="65">
        <v>31</v>
      </c>
      <c r="U55" s="28">
        <v>46</v>
      </c>
      <c r="V55" s="28">
        <v>47</v>
      </c>
      <c r="W55" s="28">
        <v>45</v>
      </c>
      <c r="X55" s="28">
        <v>45</v>
      </c>
      <c r="Y55" s="28">
        <v>40</v>
      </c>
      <c r="Z55" s="65">
        <v>42</v>
      </c>
      <c r="AA55" s="28">
        <v>41</v>
      </c>
      <c r="AB55" s="28">
        <v>35</v>
      </c>
      <c r="AC55" s="28">
        <v>36</v>
      </c>
      <c r="AD55" s="28">
        <v>33</v>
      </c>
      <c r="AE55" s="28">
        <v>42</v>
      </c>
      <c r="AF55" s="28">
        <v>39</v>
      </c>
      <c r="AG55" s="44">
        <v>43</v>
      </c>
      <c r="AH55" s="87"/>
    </row>
    <row r="56" spans="1:34" ht="18.75" x14ac:dyDescent="0.25">
      <c r="A56" s="10"/>
      <c r="B56" s="17" t="s">
        <v>72</v>
      </c>
      <c r="C56" s="17"/>
      <c r="D56" s="27"/>
      <c r="E56" s="41">
        <v>39</v>
      </c>
      <c r="F56" s="41">
        <v>44</v>
      </c>
      <c r="G56" s="41">
        <v>36</v>
      </c>
      <c r="H56" s="41">
        <v>36</v>
      </c>
      <c r="I56" s="41">
        <v>37</v>
      </c>
      <c r="J56" s="41">
        <v>42</v>
      </c>
      <c r="K56" s="41">
        <v>40</v>
      </c>
      <c r="L56" s="41">
        <v>35</v>
      </c>
      <c r="M56" s="41">
        <v>43</v>
      </c>
      <c r="N56" s="41">
        <v>45</v>
      </c>
      <c r="O56" s="41">
        <v>42</v>
      </c>
      <c r="P56" s="41">
        <v>48</v>
      </c>
      <c r="Q56" s="44">
        <v>43</v>
      </c>
      <c r="R56" s="41">
        <v>46</v>
      </c>
      <c r="S56" s="28">
        <v>42</v>
      </c>
      <c r="T56" s="65">
        <v>34</v>
      </c>
      <c r="U56" s="28">
        <v>43</v>
      </c>
      <c r="V56" s="28">
        <v>46</v>
      </c>
      <c r="W56" s="28">
        <v>45</v>
      </c>
      <c r="X56" s="28">
        <v>46</v>
      </c>
      <c r="Y56" s="28">
        <v>41</v>
      </c>
      <c r="Z56" s="65">
        <v>41</v>
      </c>
      <c r="AA56" s="28">
        <v>42</v>
      </c>
      <c r="AB56" s="28">
        <v>37</v>
      </c>
      <c r="AC56" s="28">
        <v>35</v>
      </c>
      <c r="AD56" s="28">
        <v>31</v>
      </c>
      <c r="AE56" s="28">
        <v>41</v>
      </c>
      <c r="AF56" s="28">
        <v>39</v>
      </c>
      <c r="AG56" s="44">
        <v>44</v>
      </c>
      <c r="AH56" s="87"/>
    </row>
    <row r="57" spans="1:34" x14ac:dyDescent="0.25">
      <c r="A57" s="10"/>
      <c r="B57" s="24"/>
      <c r="C57" s="25"/>
      <c r="D57" s="38"/>
      <c r="E57" s="27"/>
      <c r="F57" s="39"/>
      <c r="G57" s="39"/>
      <c r="H57" s="39"/>
      <c r="I57" s="39"/>
      <c r="J57" s="39"/>
      <c r="K57" s="39"/>
      <c r="L57" s="27"/>
      <c r="M57" s="27"/>
      <c r="N57" s="27"/>
      <c r="O57" s="27"/>
      <c r="P57" s="27"/>
      <c r="Q57" s="46"/>
      <c r="R57" s="27"/>
      <c r="S57" s="8"/>
      <c r="T57" s="64"/>
      <c r="U57" s="8"/>
      <c r="V57" s="27"/>
      <c r="W57" s="27"/>
      <c r="X57" s="27"/>
      <c r="Y57" s="27"/>
      <c r="Z57" s="46"/>
      <c r="AA57" s="27"/>
      <c r="AB57" s="27"/>
      <c r="AC57" s="27"/>
      <c r="AD57" s="27"/>
      <c r="AE57" s="27"/>
      <c r="AF57" s="27"/>
      <c r="AG57" s="47"/>
    </row>
    <row r="58" spans="1:34" x14ac:dyDescent="0.25">
      <c r="A58" s="10"/>
      <c r="B58" s="22" t="s">
        <v>73</v>
      </c>
      <c r="C58" s="22"/>
      <c r="D58" s="38"/>
      <c r="E58" s="38">
        <f t="shared" ref="E58:F58" si="114">E44/(E56*347)</f>
        <v>4.7754082612872235</v>
      </c>
      <c r="F58" s="38">
        <f t="shared" si="114"/>
        <v>8.1904014933193601</v>
      </c>
      <c r="G58" s="38">
        <f t="shared" ref="G58:H58" si="115">G44/(G56*347)</f>
        <v>9.3052993916106317</v>
      </c>
      <c r="H58" s="38">
        <f t="shared" si="115"/>
        <v>10.086311239193083</v>
      </c>
      <c r="I58" s="38">
        <f t="shared" ref="I58:J58" si="116">I44/(I56*347)</f>
        <v>11.178339434535401</v>
      </c>
      <c r="J58" s="38">
        <f t="shared" si="116"/>
        <v>9.5173425277892143</v>
      </c>
      <c r="K58" s="38">
        <f t="shared" ref="K58:P58" si="117">K44/(K56*347)</f>
        <v>9.4489841498559102</v>
      </c>
      <c r="L58" s="38">
        <f t="shared" si="117"/>
        <v>10.931572663647593</v>
      </c>
      <c r="M58" s="38">
        <f t="shared" si="117"/>
        <v>9.7981871188258154</v>
      </c>
      <c r="N58" s="38">
        <f t="shared" si="117"/>
        <v>8.8008517451168746</v>
      </c>
      <c r="O58" s="38">
        <f t="shared" si="117"/>
        <v>9.9297584739947844</v>
      </c>
      <c r="P58" s="38">
        <f t="shared" si="117"/>
        <v>7.8104166666666668</v>
      </c>
      <c r="Q58" s="57">
        <f t="shared" ref="Q58:R58" si="118">Q44/(Q56*347)</f>
        <v>9.7950405468802355</v>
      </c>
      <c r="R58" s="38">
        <f t="shared" si="118"/>
        <v>9.0796642024808918</v>
      </c>
      <c r="S58" s="38">
        <f t="shared" ref="S58:T58" si="119">S44/(S56*347)</f>
        <v>9.2384040071359959</v>
      </c>
      <c r="T58" s="57">
        <f t="shared" si="119"/>
        <v>10.731564671978301</v>
      </c>
      <c r="U58" s="38">
        <f t="shared" ref="U58:V58" si="120">U44/(U56*347)</f>
        <v>8.9990215133033988</v>
      </c>
      <c r="V58" s="38">
        <f t="shared" si="120"/>
        <v>8.5749310863300323</v>
      </c>
      <c r="W58" s="38">
        <f t="shared" ref="W58" si="121">W44/(W56*347)</f>
        <v>9.1664617355107261</v>
      </c>
      <c r="X58" s="38">
        <f t="shared" ref="X58:Y58" si="122">X44/(X56*347)</f>
        <v>7.6014628492670093</v>
      </c>
      <c r="Y58" s="38">
        <f t="shared" si="122"/>
        <v>9.796510156744219</v>
      </c>
      <c r="Z58" s="57">
        <f t="shared" ref="Z58" si="123">Z44/(Z56*347)</f>
        <v>9.3215892317424611</v>
      </c>
      <c r="AA58" s="38">
        <f t="shared" ref="AA58:AB58" si="124">AA44/(AA56*347)</f>
        <v>9.6542198435570192</v>
      </c>
      <c r="AB58" s="38">
        <f t="shared" si="124"/>
        <v>10.463871796868917</v>
      </c>
      <c r="AC58" s="38">
        <f t="shared" ref="AC58:AD58" si="125">AC44/(AC56*347)</f>
        <v>10.716957595718402</v>
      </c>
      <c r="AD58" s="38">
        <f t="shared" si="125"/>
        <v>11.783155154782932</v>
      </c>
      <c r="AE58" s="38">
        <f t="shared" ref="AE58" si="126">AE44/(AE56*347)</f>
        <v>9.6072678709496024</v>
      </c>
      <c r="AF58" s="38">
        <f t="shared" ref="AF58:AG58" si="127">AF44/(AF56*347)</f>
        <v>10.185579694081136</v>
      </c>
      <c r="AG58" s="107">
        <f t="shared" si="127"/>
        <v>9.0562549122347402</v>
      </c>
      <c r="AH58" s="92"/>
    </row>
    <row r="59" spans="1:34" x14ac:dyDescent="0.25">
      <c r="A59" s="10"/>
      <c r="B59" s="22" t="s">
        <v>74</v>
      </c>
      <c r="C59" s="22"/>
      <c r="D59" s="38"/>
      <c r="E59" s="38">
        <f t="shared" ref="E59:F59" si="128">E45/(E55*347)</f>
        <v>26.040579113489777</v>
      </c>
      <c r="F59" s="38">
        <f t="shared" si="128"/>
        <v>20.436562562830911</v>
      </c>
      <c r="G59" s="38">
        <f t="shared" ref="G59:H59" si="129">G45/(G55*347)</f>
        <v>26.749035018775654</v>
      </c>
      <c r="H59" s="38">
        <f t="shared" si="129"/>
        <v>23.291202790838767</v>
      </c>
      <c r="I59" s="38">
        <f t="shared" ref="I59:J59" si="130">I45/(I55*347)</f>
        <v>22.751016434301736</v>
      </c>
      <c r="J59" s="38">
        <f t="shared" si="130"/>
        <v>20.458367641004529</v>
      </c>
      <c r="K59" s="38">
        <f t="shared" ref="K59:P59" si="131">K45/(K55*347)</f>
        <v>22.130221446989228</v>
      </c>
      <c r="L59" s="38">
        <f t="shared" si="131"/>
        <v>21.6978651600182</v>
      </c>
      <c r="M59" s="38">
        <f t="shared" si="131"/>
        <v>20.191290798203873</v>
      </c>
      <c r="N59" s="38">
        <f t="shared" si="131"/>
        <v>18.168381155243704</v>
      </c>
      <c r="O59" s="38">
        <f t="shared" si="131"/>
        <v>18.850660143422022</v>
      </c>
      <c r="P59" s="38">
        <f t="shared" si="131"/>
        <v>16.97260446685879</v>
      </c>
      <c r="Q59" s="57">
        <f t="shared" ref="Q59:R59" si="132">Q45/(Q55*347)</f>
        <v>20.128582656536548</v>
      </c>
      <c r="R59" s="38">
        <f t="shared" si="132"/>
        <v>20.499289145052835</v>
      </c>
      <c r="S59" s="38">
        <f t="shared" ref="S59:T59" si="133">S45/(S55*347)</f>
        <v>19.060764743094119</v>
      </c>
      <c r="T59" s="57">
        <f t="shared" si="133"/>
        <v>21.482569489634656</v>
      </c>
      <c r="U59" s="38">
        <f t="shared" ref="U59:V59" si="134">U45/(U55*347)</f>
        <v>17.289600300714195</v>
      </c>
      <c r="V59" s="38">
        <f t="shared" si="134"/>
        <v>17.449258078361641</v>
      </c>
      <c r="W59" s="38">
        <f t="shared" ref="W59" si="135">W45/(W55*347)</f>
        <v>18.684771053474226</v>
      </c>
      <c r="X59" s="38">
        <f t="shared" ref="X59:Y59" si="136">X45/(X55*347)</f>
        <v>18.929519692603268</v>
      </c>
      <c r="Y59" s="38">
        <f t="shared" si="136"/>
        <v>21.174283141210374</v>
      </c>
      <c r="Z59" s="57">
        <f t="shared" ref="Z59" si="137">Z45/(Z55*347)</f>
        <v>19.851842321943188</v>
      </c>
      <c r="AA59" s="38">
        <f t="shared" ref="AA59:AB59" si="138">AA45/(AA55*347)</f>
        <v>20.344232796794827</v>
      </c>
      <c r="AB59" s="38">
        <f t="shared" si="138"/>
        <v>22.686731165088514</v>
      </c>
      <c r="AC59" s="38">
        <f t="shared" ref="AC59:AD59" si="139">AC45/(AC55*347)</f>
        <v>22.83081572206212</v>
      </c>
      <c r="AD59" s="38">
        <f t="shared" si="139"/>
        <v>21.669076936512091</v>
      </c>
      <c r="AE59" s="38">
        <f t="shared" ref="AE59" si="140">AE45/(AE55*347)</f>
        <v>19.953094551941817</v>
      </c>
      <c r="AF59" s="38">
        <f t="shared" ref="AF59:AG59" si="141">AF45/(AF55*347)</f>
        <v>21.581655952117046</v>
      </c>
      <c r="AG59" s="107">
        <f t="shared" si="141"/>
        <v>20.487038402251859</v>
      </c>
      <c r="AH59" s="92"/>
    </row>
    <row r="60" spans="1:34" x14ac:dyDescent="0.25">
      <c r="A60" s="10"/>
      <c r="B60" s="22" t="s">
        <v>75</v>
      </c>
      <c r="C60" s="22"/>
      <c r="D60" s="38"/>
      <c r="E60" s="38">
        <f t="shared" ref="E60:F60" si="142">E46/(E55*347)</f>
        <v>18.318443804034583</v>
      </c>
      <c r="F60" s="38">
        <f t="shared" si="142"/>
        <v>14.993298036324644</v>
      </c>
      <c r="G60" s="38">
        <f t="shared" ref="G60:H60" si="143">G46/(G55*347)</f>
        <v>19.884027595843158</v>
      </c>
      <c r="H60" s="38">
        <f t="shared" si="143"/>
        <v>15.481798877597452</v>
      </c>
      <c r="I60" s="38">
        <f t="shared" ref="I60:J60" si="144">I46/(I55*347)</f>
        <v>23.155775371913702</v>
      </c>
      <c r="J60" s="38">
        <f t="shared" si="144"/>
        <v>13.071085494716618</v>
      </c>
      <c r="K60" s="38">
        <f t="shared" ref="K60:P60" si="145">K46/(K55*347)</f>
        <v>11.988017594418322</v>
      </c>
      <c r="L60" s="38">
        <f t="shared" si="145"/>
        <v>14.607083270134991</v>
      </c>
      <c r="M60" s="38">
        <f t="shared" si="145"/>
        <v>12.107097379532203</v>
      </c>
      <c r="N60" s="38">
        <f t="shared" si="145"/>
        <v>13.539092845508081</v>
      </c>
      <c r="O60" s="38">
        <f t="shared" si="145"/>
        <v>19.576502915354197</v>
      </c>
      <c r="P60" s="38">
        <f t="shared" si="145"/>
        <v>14.058897694524497</v>
      </c>
      <c r="Q60" s="57">
        <f t="shared" ref="Q60:R60" si="146">Q46/(Q55*347)</f>
        <v>20.943345559339797</v>
      </c>
      <c r="R60" s="38">
        <f t="shared" si="146"/>
        <v>19.708741594620559</v>
      </c>
      <c r="S60" s="38">
        <f t="shared" ref="S60:T60" si="147">S46/(S55*347)</f>
        <v>15.018977999578267</v>
      </c>
      <c r="T60" s="57">
        <f t="shared" si="147"/>
        <v>18.159245142697777</v>
      </c>
      <c r="U60" s="38">
        <f t="shared" ref="U60:V60" si="148">U46/(U55*347)</f>
        <v>15.19314622227791</v>
      </c>
      <c r="V60" s="38">
        <f t="shared" si="148"/>
        <v>11.562818075909007</v>
      </c>
      <c r="W60" s="38">
        <f t="shared" ref="W60" si="149">W46/(W55*347)</f>
        <v>11.257572846621837</v>
      </c>
      <c r="X60" s="38">
        <f t="shared" ref="X60:Y60" si="150">X46/(X55*347)</f>
        <v>13.903298110790907</v>
      </c>
      <c r="Y60" s="38">
        <f t="shared" si="150"/>
        <v>12.217291066282421</v>
      </c>
      <c r="Z60" s="57">
        <f t="shared" ref="Z60" si="151">Z46/(Z55*347)</f>
        <v>10.517565527651984</v>
      </c>
      <c r="AA60" s="38">
        <f t="shared" ref="AA60:AB60" si="152">AA46/(AA55*347)</f>
        <v>16.589372320236169</v>
      </c>
      <c r="AB60" s="38">
        <f t="shared" si="152"/>
        <v>16.121531494442156</v>
      </c>
      <c r="AC60" s="38">
        <f t="shared" ref="AC60:AD60" si="153">AC46/(AC55*347)</f>
        <v>13.712936279218701</v>
      </c>
      <c r="AD60" s="38">
        <f t="shared" si="153"/>
        <v>14.278403632870491</v>
      </c>
      <c r="AE60" s="38">
        <f t="shared" ref="AE60" si="154">AE46/(AE55*347)</f>
        <v>16.832235487855083</v>
      </c>
      <c r="AF60" s="38">
        <f t="shared" ref="AF60:AG60" si="155">AF46/(AF55*347)</f>
        <v>20.566836621591666</v>
      </c>
      <c r="AG60" s="107">
        <f t="shared" si="155"/>
        <v>13.817773607667046</v>
      </c>
      <c r="AH60" s="92"/>
    </row>
    <row r="61" spans="1:34" x14ac:dyDescent="0.25">
      <c r="A61" s="10"/>
      <c r="B61" s="22" t="s">
        <v>76</v>
      </c>
      <c r="C61" s="22"/>
      <c r="D61" s="22"/>
      <c r="E61" s="38">
        <f t="shared" ref="E61:F61" si="156">SUM(E58:E60)</f>
        <v>49.134431178811582</v>
      </c>
      <c r="F61" s="38">
        <f t="shared" si="156"/>
        <v>43.620262092474917</v>
      </c>
      <c r="G61" s="38">
        <f t="shared" ref="G61:H61" si="157">SUM(G58:G60)</f>
        <v>55.938362006229447</v>
      </c>
      <c r="H61" s="38">
        <f t="shared" si="157"/>
        <v>48.859312907629302</v>
      </c>
      <c r="I61" s="38">
        <f t="shared" ref="I61:J61" si="158">SUM(I58:I60)</f>
        <v>57.08513124075084</v>
      </c>
      <c r="J61" s="38">
        <f t="shared" si="158"/>
        <v>43.046795663510359</v>
      </c>
      <c r="K61" s="38">
        <f t="shared" ref="K61:L61" si="159">SUM(K58:K60)</f>
        <v>43.567223191263459</v>
      </c>
      <c r="L61" s="38">
        <f t="shared" si="159"/>
        <v>47.236521093800789</v>
      </c>
      <c r="M61" s="38">
        <f t="shared" ref="M61:N61" si="160">SUM(M58:M60)</f>
        <v>42.096575296561895</v>
      </c>
      <c r="N61" s="38">
        <f t="shared" si="160"/>
        <v>40.50832574586866</v>
      </c>
      <c r="O61" s="38">
        <f t="shared" ref="O61:P61" si="161">SUM(O58:O60)</f>
        <v>48.356921532771004</v>
      </c>
      <c r="P61" s="38">
        <f t="shared" si="161"/>
        <v>38.841918828049955</v>
      </c>
      <c r="Q61" s="57">
        <f t="shared" ref="Q61:R61" si="162">SUM(Q58:Q60)</f>
        <v>50.866968762756578</v>
      </c>
      <c r="R61" s="38">
        <f t="shared" si="162"/>
        <v>49.287694942154289</v>
      </c>
      <c r="S61" s="38">
        <f t="shared" ref="S61:T61" si="163">SUM(S58:S60)</f>
        <v>43.318146749808385</v>
      </c>
      <c r="T61" s="57">
        <f t="shared" si="163"/>
        <v>50.373379304310738</v>
      </c>
      <c r="U61" s="38">
        <f t="shared" ref="U61:V61" si="164">SUM(U58:U60)</f>
        <v>41.481768036295506</v>
      </c>
      <c r="V61" s="38">
        <f t="shared" si="164"/>
        <v>37.587007240600684</v>
      </c>
      <c r="W61" s="38">
        <f t="shared" ref="W61" si="165">SUM(W58:W60)</f>
        <v>39.108805635606785</v>
      </c>
      <c r="X61" s="38">
        <f t="shared" ref="X61:Y61" si="166">SUM(X58:X60)</f>
        <v>40.434280652661187</v>
      </c>
      <c r="Y61" s="38">
        <f t="shared" si="166"/>
        <v>43.188084364237014</v>
      </c>
      <c r="Z61" s="57">
        <f t="shared" ref="Z61" si="167">SUM(Z58:Z60)</f>
        <v>39.690997081337635</v>
      </c>
      <c r="AA61" s="38">
        <f t="shared" ref="AA61:AB61" si="168">SUM(AA58:AA60)</f>
        <v>46.587824960588016</v>
      </c>
      <c r="AB61" s="38">
        <f t="shared" si="168"/>
        <v>49.272134456399584</v>
      </c>
      <c r="AC61" s="38">
        <f t="shared" ref="AC61:AD61" si="169">SUM(AC58:AC60)</f>
        <v>47.260709596999227</v>
      </c>
      <c r="AD61" s="38">
        <f t="shared" si="169"/>
        <v>47.730635724165516</v>
      </c>
      <c r="AE61" s="38">
        <f t="shared" ref="AE61" si="170">SUM(AE58:AE60)</f>
        <v>46.392597910746503</v>
      </c>
      <c r="AF61" s="38">
        <f t="shared" ref="AF61:AG61" si="171">SUM(AF58:AF60)</f>
        <v>52.33407226778985</v>
      </c>
      <c r="AG61" s="107">
        <f t="shared" si="171"/>
        <v>43.36106692215364</v>
      </c>
      <c r="AH61" s="9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abSelected="1" workbookViewId="0">
      <pane xSplit="2" topLeftCell="Q1" activePane="topRight" state="frozen"/>
      <selection pane="topRight" activeCell="J9" sqref="J9"/>
    </sheetView>
  </sheetViews>
  <sheetFormatPr defaultRowHeight="15" x14ac:dyDescent="0.25"/>
  <cols>
    <col min="1" max="1" width="48.140625" bestFit="1" customWidth="1"/>
    <col min="2" max="2" width="25.5703125" bestFit="1" customWidth="1"/>
    <col min="3" max="3" width="10.140625" style="42" bestFit="1" customWidth="1"/>
    <col min="4" max="4" width="10.140625" bestFit="1" customWidth="1"/>
    <col min="5" max="10" width="11.28515625" bestFit="1" customWidth="1"/>
    <col min="11" max="14" width="10.140625" bestFit="1" customWidth="1"/>
    <col min="15" max="17" width="11.28515625" bestFit="1" customWidth="1"/>
    <col min="18" max="18" width="10.140625" bestFit="1" customWidth="1"/>
    <col min="19" max="20" width="11.28515625" bestFit="1" customWidth="1"/>
    <col min="21" max="21" width="10.42578125" bestFit="1" customWidth="1"/>
    <col min="22" max="22" width="11.42578125" customWidth="1"/>
    <col min="23" max="23" width="10.140625" style="42" bestFit="1" customWidth="1"/>
    <col min="24" max="24" width="12.28515625" customWidth="1"/>
    <col min="25" max="25" width="13.7109375" customWidth="1"/>
    <col min="26" max="26" width="14.28515625" customWidth="1"/>
    <col min="27" max="27" width="13.5703125" customWidth="1"/>
    <col min="28" max="28" width="12.42578125" customWidth="1"/>
    <col min="29" max="29" width="11.85546875" customWidth="1"/>
    <col min="30" max="30" width="14.42578125" bestFit="1" customWidth="1"/>
    <col min="31" max="32" width="10.42578125" bestFit="1" customWidth="1"/>
  </cols>
  <sheetData>
    <row r="1" spans="1:32" ht="23.25" x14ac:dyDescent="0.25">
      <c r="A1" s="2"/>
      <c r="B1" s="3">
        <v>46082</v>
      </c>
    </row>
    <row r="2" spans="1:32" ht="18.75" x14ac:dyDescent="0.25">
      <c r="A2" s="4" t="s">
        <v>2</v>
      </c>
      <c r="B2" s="4" t="s">
        <v>3</v>
      </c>
      <c r="C2" s="67">
        <v>46081</v>
      </c>
      <c r="D2" s="26">
        <v>46082</v>
      </c>
      <c r="E2" s="26">
        <v>46083</v>
      </c>
      <c r="F2" s="26">
        <v>46084</v>
      </c>
      <c r="G2" s="26">
        <v>46085</v>
      </c>
      <c r="H2" s="26">
        <v>46086</v>
      </c>
      <c r="I2" s="26">
        <v>46087</v>
      </c>
      <c r="J2" s="26">
        <v>46088</v>
      </c>
      <c r="K2" s="26">
        <v>46089</v>
      </c>
      <c r="L2" s="26">
        <v>46090</v>
      </c>
      <c r="M2" s="26">
        <v>46091</v>
      </c>
      <c r="N2" s="26">
        <v>46092</v>
      </c>
      <c r="O2" s="26">
        <v>46093</v>
      </c>
      <c r="P2" s="26">
        <v>46094</v>
      </c>
      <c r="Q2" s="26">
        <v>46095</v>
      </c>
      <c r="R2" s="26">
        <v>46096</v>
      </c>
      <c r="S2" s="26">
        <v>46097</v>
      </c>
      <c r="T2" s="26">
        <v>46098</v>
      </c>
      <c r="U2" s="26">
        <v>46099</v>
      </c>
      <c r="V2" s="26">
        <v>46100</v>
      </c>
      <c r="W2" s="26">
        <v>46101</v>
      </c>
      <c r="X2" s="26">
        <v>46102</v>
      </c>
      <c r="Y2" s="26">
        <v>46103</v>
      </c>
      <c r="Z2" s="26">
        <v>46104</v>
      </c>
      <c r="AA2" s="26">
        <v>46105</v>
      </c>
      <c r="AB2" s="26">
        <v>46106</v>
      </c>
      <c r="AC2" s="43">
        <v>46107</v>
      </c>
      <c r="AD2" s="26">
        <v>46108</v>
      </c>
      <c r="AE2" s="26">
        <v>46109</v>
      </c>
      <c r="AF2" s="26">
        <v>46110</v>
      </c>
    </row>
    <row r="3" spans="1:32" ht="15.75" x14ac:dyDescent="0.25">
      <c r="A3" s="5"/>
      <c r="B3" s="6"/>
      <c r="C3" s="80"/>
      <c r="D3" s="27"/>
      <c r="E3" s="80"/>
      <c r="F3" s="27"/>
      <c r="G3" s="80"/>
      <c r="H3" s="27"/>
      <c r="I3" s="80"/>
      <c r="J3" s="27"/>
      <c r="K3" s="80"/>
      <c r="L3" s="27"/>
      <c r="M3" s="80"/>
      <c r="N3" s="27"/>
      <c r="O3" s="80"/>
      <c r="P3" s="27"/>
      <c r="Q3" s="80"/>
      <c r="R3" s="80"/>
      <c r="S3" s="80"/>
      <c r="T3" s="27"/>
      <c r="U3" s="27"/>
      <c r="V3" s="27"/>
      <c r="W3" s="39"/>
      <c r="X3" s="27"/>
      <c r="Y3" s="27"/>
      <c r="Z3" s="27"/>
      <c r="AD3" s="27"/>
      <c r="AE3" s="27"/>
      <c r="AF3" s="27"/>
    </row>
    <row r="4" spans="1:32" ht="15.75" x14ac:dyDescent="0.25">
      <c r="A4" s="7" t="s">
        <v>4</v>
      </c>
      <c r="B4" s="7" t="s">
        <v>5</v>
      </c>
      <c r="C4" s="81">
        <v>202967022</v>
      </c>
      <c r="D4" s="82">
        <v>202967022</v>
      </c>
      <c r="E4" s="81">
        <v>202967022</v>
      </c>
      <c r="F4" s="82">
        <v>202967023</v>
      </c>
      <c r="G4" s="81">
        <v>202967023</v>
      </c>
      <c r="H4" s="82">
        <v>202967023</v>
      </c>
      <c r="I4" s="81">
        <v>202967023</v>
      </c>
      <c r="J4" s="82">
        <v>202967023</v>
      </c>
      <c r="K4" s="81">
        <v>202967023</v>
      </c>
      <c r="L4" s="82">
        <v>202967023</v>
      </c>
      <c r="M4" s="81">
        <v>202967023</v>
      </c>
      <c r="N4" s="82">
        <v>202967024</v>
      </c>
      <c r="O4" s="81">
        <v>202967024</v>
      </c>
      <c r="P4" s="82">
        <v>202967024</v>
      </c>
      <c r="Q4" s="81">
        <v>202967024</v>
      </c>
      <c r="R4" s="81">
        <v>202967024</v>
      </c>
      <c r="S4" s="81">
        <v>202967024</v>
      </c>
      <c r="T4" s="82">
        <v>202967024</v>
      </c>
      <c r="U4" s="82">
        <v>202967024</v>
      </c>
      <c r="V4" s="82">
        <v>202967025</v>
      </c>
      <c r="W4" s="82">
        <v>202967025</v>
      </c>
      <c r="X4" s="82">
        <v>202967025</v>
      </c>
      <c r="Y4" s="82">
        <v>202967025</v>
      </c>
      <c r="Z4" s="82">
        <v>202967025</v>
      </c>
      <c r="AA4" s="82">
        <v>202967026</v>
      </c>
      <c r="AB4" s="82">
        <v>202967026</v>
      </c>
      <c r="AC4" s="111">
        <v>202967026</v>
      </c>
      <c r="AD4" s="82">
        <v>202967027</v>
      </c>
      <c r="AE4" s="82">
        <v>202967027</v>
      </c>
      <c r="AF4" s="82">
        <v>202967027</v>
      </c>
    </row>
    <row r="5" spans="1:32" ht="15.75" x14ac:dyDescent="0.25">
      <c r="A5" s="7"/>
      <c r="B5" s="7" t="s">
        <v>6</v>
      </c>
      <c r="C5" s="81">
        <v>65509123</v>
      </c>
      <c r="D5" s="82">
        <v>65717984</v>
      </c>
      <c r="E5" s="81">
        <v>65900684</v>
      </c>
      <c r="F5" s="82">
        <v>66089592</v>
      </c>
      <c r="G5" s="81">
        <v>66283358</v>
      </c>
      <c r="H5" s="82">
        <v>66497767</v>
      </c>
      <c r="I5" s="81">
        <v>66677409</v>
      </c>
      <c r="J5" s="82">
        <v>66867867</v>
      </c>
      <c r="K5" s="81">
        <v>67053136</v>
      </c>
      <c r="L5" s="82">
        <v>67246631</v>
      </c>
      <c r="M5" s="81">
        <v>67416791</v>
      </c>
      <c r="N5" s="82">
        <v>67589356</v>
      </c>
      <c r="O5" s="81">
        <v>67778217</v>
      </c>
      <c r="P5" s="82">
        <v>67965836</v>
      </c>
      <c r="Q5" s="81">
        <v>68127950</v>
      </c>
      <c r="R5" s="81">
        <v>68310870</v>
      </c>
      <c r="S5" s="81">
        <v>68516915</v>
      </c>
      <c r="T5" s="82">
        <v>68710369</v>
      </c>
      <c r="U5" s="82">
        <v>68913055</v>
      </c>
      <c r="V5" s="82">
        <v>69102298</v>
      </c>
      <c r="W5" s="82">
        <v>69286411</v>
      </c>
      <c r="X5" s="82">
        <v>69451372</v>
      </c>
      <c r="Y5" s="82">
        <v>69662773</v>
      </c>
      <c r="Z5" s="82">
        <v>69824596</v>
      </c>
      <c r="AA5" s="82">
        <v>70019781</v>
      </c>
      <c r="AB5" s="82">
        <v>70214914</v>
      </c>
      <c r="AC5" s="111">
        <v>70390562</v>
      </c>
      <c r="AD5" s="82">
        <v>70587280</v>
      </c>
      <c r="AE5" s="82">
        <v>70780870</v>
      </c>
      <c r="AF5" s="82">
        <v>70967853</v>
      </c>
    </row>
    <row r="6" spans="1:32" ht="15.75" x14ac:dyDescent="0.25">
      <c r="A6" s="7" t="s">
        <v>7</v>
      </c>
      <c r="B6" s="7" t="s">
        <v>8</v>
      </c>
      <c r="C6" s="81">
        <v>81860458</v>
      </c>
      <c r="D6" s="82">
        <v>82095265</v>
      </c>
      <c r="E6" s="81">
        <v>82296758</v>
      </c>
      <c r="F6" s="82">
        <v>82520474</v>
      </c>
      <c r="G6" s="81">
        <v>82747849</v>
      </c>
      <c r="H6" s="82">
        <v>82991665</v>
      </c>
      <c r="I6" s="81">
        <v>83204951</v>
      </c>
      <c r="J6" s="82">
        <v>83429401</v>
      </c>
      <c r="K6" s="81">
        <v>83645603</v>
      </c>
      <c r="L6" s="82">
        <v>83855675</v>
      </c>
      <c r="M6" s="81">
        <v>84055773</v>
      </c>
      <c r="N6" s="82">
        <v>84261097</v>
      </c>
      <c r="O6" s="81">
        <v>84470699</v>
      </c>
      <c r="P6" s="82">
        <v>84663952</v>
      </c>
      <c r="Q6" s="81">
        <v>84862311</v>
      </c>
      <c r="R6" s="81">
        <v>85072791</v>
      </c>
      <c r="S6" s="81">
        <v>85302593</v>
      </c>
      <c r="T6" s="82">
        <v>85524350</v>
      </c>
      <c r="U6" s="82">
        <v>85762279</v>
      </c>
      <c r="V6" s="82">
        <v>85990716</v>
      </c>
      <c r="W6" s="82">
        <v>86202240</v>
      </c>
      <c r="X6" s="82">
        <v>86415487</v>
      </c>
      <c r="Y6" s="82">
        <v>86677933</v>
      </c>
      <c r="Z6" s="82">
        <v>86858234</v>
      </c>
      <c r="AA6" s="82">
        <v>87081789</v>
      </c>
      <c r="AB6" s="82">
        <v>87300298</v>
      </c>
      <c r="AC6" s="111">
        <v>87515148</v>
      </c>
      <c r="AD6" s="82">
        <v>87733806</v>
      </c>
      <c r="AE6" s="82">
        <v>87953694</v>
      </c>
      <c r="AF6" s="82">
        <v>88165886</v>
      </c>
    </row>
    <row r="7" spans="1:32" ht="15.75" x14ac:dyDescent="0.25">
      <c r="A7" s="8"/>
      <c r="B7" s="7" t="s">
        <v>9</v>
      </c>
      <c r="C7" s="81">
        <v>204044187</v>
      </c>
      <c r="D7" s="82">
        <v>204244167</v>
      </c>
      <c r="E7" s="81">
        <v>204414024</v>
      </c>
      <c r="F7" s="82">
        <v>204601976</v>
      </c>
      <c r="G7" s="81">
        <v>204784550</v>
      </c>
      <c r="H7" s="82">
        <v>204979046</v>
      </c>
      <c r="I7" s="81">
        <v>205142260</v>
      </c>
      <c r="J7" s="82">
        <v>205306854</v>
      </c>
      <c r="K7" s="81">
        <v>205484774</v>
      </c>
      <c r="L7" s="82">
        <v>205670937</v>
      </c>
      <c r="M7" s="81">
        <v>205860261</v>
      </c>
      <c r="N7" s="82">
        <v>206050405</v>
      </c>
      <c r="O7" s="81">
        <v>206248335</v>
      </c>
      <c r="P7" s="82">
        <v>206414500</v>
      </c>
      <c r="Q7" s="81">
        <v>206601040</v>
      </c>
      <c r="R7" s="81">
        <v>206792917</v>
      </c>
      <c r="S7" s="81">
        <v>206974902</v>
      </c>
      <c r="T7" s="82">
        <v>207158079</v>
      </c>
      <c r="U7" s="82">
        <v>207333575</v>
      </c>
      <c r="V7" s="82">
        <v>207514736</v>
      </c>
      <c r="W7" s="82">
        <v>207695514</v>
      </c>
      <c r="X7" s="82">
        <v>207871421</v>
      </c>
      <c r="Y7" s="82">
        <v>208088001</v>
      </c>
      <c r="Z7" s="82">
        <v>208236937</v>
      </c>
      <c r="AA7" s="82">
        <v>208417633</v>
      </c>
      <c r="AB7" s="82">
        <v>208600199</v>
      </c>
      <c r="AC7" s="111">
        <v>208782027</v>
      </c>
      <c r="AD7" s="82">
        <v>208964358</v>
      </c>
      <c r="AE7" s="82">
        <v>209149558</v>
      </c>
      <c r="AF7" s="82">
        <v>209332634</v>
      </c>
    </row>
    <row r="8" spans="1:32" ht="15.75" x14ac:dyDescent="0.25">
      <c r="A8" s="7"/>
      <c r="B8" s="7" t="s">
        <v>10</v>
      </c>
      <c r="C8" s="81">
        <v>163238540</v>
      </c>
      <c r="D8" s="82">
        <v>163238548</v>
      </c>
      <c r="E8" s="81">
        <v>163238555</v>
      </c>
      <c r="F8" s="82">
        <v>163238565</v>
      </c>
      <c r="G8" s="81">
        <v>163238575</v>
      </c>
      <c r="H8" s="82">
        <v>163238583</v>
      </c>
      <c r="I8" s="81">
        <v>163238591</v>
      </c>
      <c r="J8" s="82">
        <v>163238599</v>
      </c>
      <c r="K8" s="81">
        <v>163238608</v>
      </c>
      <c r="L8" s="82">
        <v>163238617</v>
      </c>
      <c r="M8" s="81">
        <v>163238623</v>
      </c>
      <c r="N8" s="82">
        <v>163238624</v>
      </c>
      <c r="O8" s="81">
        <v>163238626</v>
      </c>
      <c r="P8" s="82">
        <v>163238637</v>
      </c>
      <c r="Q8" s="81">
        <v>163238647</v>
      </c>
      <c r="R8" s="81">
        <v>163238652</v>
      </c>
      <c r="S8" s="81">
        <v>163238660</v>
      </c>
      <c r="T8" s="82">
        <v>163238669</v>
      </c>
      <c r="U8" s="82">
        <v>163238684</v>
      </c>
      <c r="V8" s="82">
        <v>163238700</v>
      </c>
      <c r="W8" s="82">
        <v>163238709</v>
      </c>
      <c r="X8" s="82">
        <v>163238733</v>
      </c>
      <c r="Y8" s="82">
        <v>163238757</v>
      </c>
      <c r="Z8" s="82">
        <v>163238778</v>
      </c>
      <c r="AA8" s="82">
        <v>163238801</v>
      </c>
      <c r="AB8" s="82">
        <v>163238822</v>
      </c>
      <c r="AC8" s="111">
        <v>163238833</v>
      </c>
      <c r="AD8" s="82">
        <v>163238848</v>
      </c>
      <c r="AE8" s="82">
        <v>163238866</v>
      </c>
      <c r="AF8" s="82">
        <v>163238885</v>
      </c>
    </row>
    <row r="9" spans="1:32" ht="15.75" x14ac:dyDescent="0.25">
      <c r="A9" s="9" t="s">
        <v>11</v>
      </c>
      <c r="B9" s="9"/>
      <c r="C9" s="68">
        <v>717619330</v>
      </c>
      <c r="D9" s="68">
        <v>718262986</v>
      </c>
      <c r="E9" s="68">
        <v>718817043</v>
      </c>
      <c r="F9" s="68">
        <v>719417630</v>
      </c>
      <c r="G9" s="68">
        <v>720021355</v>
      </c>
      <c r="H9" s="68">
        <v>720674084</v>
      </c>
      <c r="I9" s="68">
        <v>721230234</v>
      </c>
      <c r="J9" s="68">
        <v>721809744</v>
      </c>
      <c r="K9" s="68">
        <v>722389144</v>
      </c>
      <c r="L9" s="68">
        <v>722978883</v>
      </c>
      <c r="M9" s="68">
        <v>723538471</v>
      </c>
      <c r="N9" s="68">
        <v>724106506</v>
      </c>
      <c r="O9" s="68">
        <v>724702901</v>
      </c>
      <c r="P9" s="68">
        <v>725249949</v>
      </c>
      <c r="Q9" s="68">
        <v>725796972</v>
      </c>
      <c r="R9" s="68">
        <v>726382254</v>
      </c>
      <c r="S9" s="68">
        <v>727000094</v>
      </c>
      <c r="T9" s="68">
        <v>727598491</v>
      </c>
      <c r="U9" s="68">
        <v>728214617</v>
      </c>
      <c r="V9" s="68">
        <v>728813475</v>
      </c>
      <c r="W9" s="68">
        <v>729389899</v>
      </c>
      <c r="X9" s="68">
        <v>729944038</v>
      </c>
      <c r="Y9" s="68">
        <v>730634489</v>
      </c>
      <c r="Z9" s="68">
        <v>731125570</v>
      </c>
      <c r="AA9" s="68">
        <v>731725030</v>
      </c>
      <c r="AB9" s="68">
        <v>732321259</v>
      </c>
      <c r="AC9" s="96">
        <v>732893596</v>
      </c>
      <c r="AD9" s="68">
        <v>733491319</v>
      </c>
      <c r="AE9" s="68">
        <v>734090015</v>
      </c>
      <c r="AF9" s="68">
        <v>734672285</v>
      </c>
    </row>
    <row r="10" spans="1:32" ht="15.75" x14ac:dyDescent="0.25">
      <c r="A10" s="7"/>
      <c r="B10" s="7"/>
      <c r="C10" s="39"/>
      <c r="D10" s="27"/>
      <c r="E10" s="39"/>
      <c r="F10" s="27"/>
      <c r="G10" s="39"/>
      <c r="H10" s="27"/>
      <c r="I10" s="39"/>
      <c r="J10" s="27"/>
      <c r="K10" s="39"/>
      <c r="L10" s="27"/>
      <c r="M10" s="39"/>
      <c r="N10" s="27"/>
      <c r="O10" s="39"/>
      <c r="P10" s="27"/>
      <c r="Q10" s="39"/>
      <c r="R10" s="39"/>
      <c r="S10" s="39"/>
      <c r="T10" s="27"/>
      <c r="U10" s="27"/>
      <c r="V10" s="27"/>
      <c r="W10" s="39"/>
      <c r="X10" s="27"/>
      <c r="Y10" s="27"/>
      <c r="Z10" s="27"/>
      <c r="AA10" s="27"/>
      <c r="AB10" s="27"/>
      <c r="AC10" s="46"/>
      <c r="AD10" s="27"/>
      <c r="AE10" s="27"/>
      <c r="AF10" s="27"/>
    </row>
    <row r="11" spans="1:32" ht="15.75" x14ac:dyDescent="0.25">
      <c r="A11" s="7" t="s">
        <v>12</v>
      </c>
      <c r="B11" s="7" t="s">
        <v>13</v>
      </c>
      <c r="C11" s="41">
        <v>193751452</v>
      </c>
      <c r="D11" s="82">
        <v>193818998</v>
      </c>
      <c r="E11" s="41">
        <v>193905460</v>
      </c>
      <c r="F11" s="82">
        <v>194012472</v>
      </c>
      <c r="G11" s="41">
        <v>194091477</v>
      </c>
      <c r="H11" s="82">
        <v>194168197</v>
      </c>
      <c r="I11" s="41">
        <v>194270563</v>
      </c>
      <c r="J11" s="82">
        <v>194394255</v>
      </c>
      <c r="K11" s="41">
        <v>194554311</v>
      </c>
      <c r="L11" s="82">
        <v>194665208</v>
      </c>
      <c r="M11" s="41">
        <v>194753345</v>
      </c>
      <c r="N11" s="82">
        <v>194842773</v>
      </c>
      <c r="O11" s="41">
        <v>194943641</v>
      </c>
      <c r="P11" s="82">
        <v>195064683</v>
      </c>
      <c r="Q11" s="41">
        <v>195160532</v>
      </c>
      <c r="R11" s="41">
        <v>195290748</v>
      </c>
      <c r="S11" s="41">
        <v>195448842</v>
      </c>
      <c r="T11" s="82">
        <v>195583445</v>
      </c>
      <c r="U11" s="82">
        <v>195743888</v>
      </c>
      <c r="V11" s="82">
        <v>195846005</v>
      </c>
      <c r="W11" s="82">
        <v>195950706</v>
      </c>
      <c r="X11" s="82">
        <v>196028959</v>
      </c>
      <c r="Y11" s="82">
        <v>196166754</v>
      </c>
      <c r="Z11" s="82">
        <v>196316105</v>
      </c>
      <c r="AA11" s="82">
        <v>196481402</v>
      </c>
      <c r="AB11" s="82">
        <v>196627702</v>
      </c>
      <c r="AC11" s="111">
        <v>196752472</v>
      </c>
      <c r="AD11" s="82">
        <v>196934764</v>
      </c>
      <c r="AE11" s="82">
        <v>197078887</v>
      </c>
      <c r="AF11" s="82">
        <v>197215106</v>
      </c>
    </row>
    <row r="12" spans="1:32" ht="15.75" x14ac:dyDescent="0.25">
      <c r="A12" s="7" t="s">
        <v>14</v>
      </c>
      <c r="B12" s="7" t="s">
        <v>13</v>
      </c>
      <c r="C12" s="41">
        <v>151677923</v>
      </c>
      <c r="D12" s="82">
        <v>151783761</v>
      </c>
      <c r="E12" s="41">
        <v>151850519</v>
      </c>
      <c r="F12" s="82">
        <v>151960952</v>
      </c>
      <c r="G12" s="41">
        <v>152119689</v>
      </c>
      <c r="H12" s="82">
        <v>152218580</v>
      </c>
      <c r="I12" s="41">
        <v>152309194</v>
      </c>
      <c r="J12" s="82">
        <v>152416937</v>
      </c>
      <c r="K12" s="41">
        <v>152580665</v>
      </c>
      <c r="L12" s="82">
        <v>152704106</v>
      </c>
      <c r="M12" s="41">
        <v>152792711</v>
      </c>
      <c r="N12" s="82">
        <v>152863832</v>
      </c>
      <c r="O12" s="41">
        <v>152944193</v>
      </c>
      <c r="P12" s="82">
        <v>153047878</v>
      </c>
      <c r="Q12" s="41">
        <v>153123077</v>
      </c>
      <c r="R12" s="41">
        <v>153233436</v>
      </c>
      <c r="S12" s="41">
        <v>153336937</v>
      </c>
      <c r="T12" s="82">
        <v>153458712</v>
      </c>
      <c r="U12" s="82">
        <v>153581904</v>
      </c>
      <c r="V12" s="82">
        <v>153682869</v>
      </c>
      <c r="W12" s="39">
        <v>153786191</v>
      </c>
      <c r="X12" s="82">
        <v>153917728</v>
      </c>
      <c r="Y12" s="82">
        <v>154080871</v>
      </c>
      <c r="Z12" s="82">
        <v>154197518</v>
      </c>
      <c r="AA12" s="82">
        <v>154331758</v>
      </c>
      <c r="AB12" s="82">
        <v>154486360</v>
      </c>
      <c r="AC12" s="111">
        <v>154636456</v>
      </c>
      <c r="AD12" s="82">
        <v>154778006</v>
      </c>
      <c r="AE12" s="82">
        <v>154940524</v>
      </c>
      <c r="AF12" s="82">
        <v>155079394</v>
      </c>
    </row>
    <row r="13" spans="1:32" ht="15.75" x14ac:dyDescent="0.25">
      <c r="A13" s="7"/>
      <c r="B13" s="7"/>
      <c r="C13" s="39"/>
      <c r="D13" s="27"/>
      <c r="E13" s="39"/>
      <c r="F13" s="27"/>
      <c r="G13" s="39"/>
      <c r="H13" s="27"/>
      <c r="I13" s="39"/>
      <c r="J13" s="27"/>
      <c r="K13" s="39"/>
      <c r="L13" s="27"/>
      <c r="M13" s="39"/>
      <c r="N13" s="27"/>
      <c r="O13" s="39"/>
      <c r="P13" s="27"/>
      <c r="Q13" s="39"/>
      <c r="R13" s="39"/>
      <c r="S13" s="39"/>
      <c r="T13" s="27"/>
      <c r="U13" s="27"/>
      <c r="V13" s="27"/>
      <c r="W13" s="39"/>
      <c r="X13" s="27"/>
      <c r="Y13" s="27"/>
      <c r="Z13" s="27"/>
      <c r="AA13" s="27"/>
      <c r="AB13" s="27"/>
      <c r="AC13" s="46"/>
      <c r="AD13" s="27"/>
      <c r="AE13" s="27"/>
      <c r="AF13" s="27"/>
    </row>
    <row r="14" spans="1:32" ht="15.75" x14ac:dyDescent="0.25">
      <c r="A14" s="7" t="s">
        <v>15</v>
      </c>
      <c r="B14" s="7" t="s">
        <v>16</v>
      </c>
      <c r="C14" s="41">
        <v>14783385</v>
      </c>
      <c r="D14" s="41">
        <v>14791951</v>
      </c>
      <c r="E14" s="41">
        <v>14799203</v>
      </c>
      <c r="F14" s="41">
        <v>14807003</v>
      </c>
      <c r="G14" s="41">
        <v>14814795</v>
      </c>
      <c r="H14" s="41">
        <v>14823336</v>
      </c>
      <c r="I14" s="41">
        <v>14830653</v>
      </c>
      <c r="J14" s="41">
        <v>14838667</v>
      </c>
      <c r="K14" s="41">
        <v>14846216</v>
      </c>
      <c r="L14" s="41">
        <v>14854179</v>
      </c>
      <c r="M14" s="41">
        <v>14861636</v>
      </c>
      <c r="N14" s="41">
        <v>14869325</v>
      </c>
      <c r="O14" s="41">
        <v>14880591</v>
      </c>
      <c r="P14" s="41">
        <v>14891401</v>
      </c>
      <c r="Q14" s="41">
        <v>14901144</v>
      </c>
      <c r="R14" s="41">
        <v>14912075</v>
      </c>
      <c r="S14" s="41">
        <v>14923457</v>
      </c>
      <c r="T14" s="41">
        <v>14934413</v>
      </c>
      <c r="U14" s="41">
        <v>14945170</v>
      </c>
      <c r="V14" s="41">
        <v>14956390</v>
      </c>
      <c r="W14" s="41">
        <v>14966934</v>
      </c>
      <c r="X14" s="41">
        <v>14976525</v>
      </c>
      <c r="Y14" s="41">
        <v>14989644</v>
      </c>
      <c r="Z14" s="41">
        <v>14999329</v>
      </c>
      <c r="AA14" s="41">
        <v>15010906</v>
      </c>
      <c r="AB14" s="41">
        <v>15022498</v>
      </c>
      <c r="AC14" s="44">
        <v>15034064</v>
      </c>
      <c r="AD14" s="41">
        <v>15045773</v>
      </c>
      <c r="AE14" s="41">
        <v>15056822</v>
      </c>
      <c r="AF14" s="41">
        <v>15067723</v>
      </c>
    </row>
    <row r="15" spans="1:32" ht="15.75" x14ac:dyDescent="0.25">
      <c r="A15" s="7" t="s">
        <v>17</v>
      </c>
      <c r="B15" s="7" t="s">
        <v>18</v>
      </c>
      <c r="C15" s="41">
        <v>13548156</v>
      </c>
      <c r="D15" s="41">
        <v>13564403</v>
      </c>
      <c r="E15" s="41">
        <v>13578201</v>
      </c>
      <c r="F15" s="41">
        <v>13593247</v>
      </c>
      <c r="G15" s="41">
        <v>13608231</v>
      </c>
      <c r="H15" s="41">
        <v>13624793</v>
      </c>
      <c r="I15" s="41">
        <v>13638883</v>
      </c>
      <c r="J15" s="41">
        <v>13654011</v>
      </c>
      <c r="K15" s="41">
        <v>13668625</v>
      </c>
      <c r="L15" s="41">
        <v>13683823</v>
      </c>
      <c r="M15" s="41">
        <v>13698656</v>
      </c>
      <c r="N15" s="41">
        <v>13708278</v>
      </c>
      <c r="O15" s="41">
        <v>13720133</v>
      </c>
      <c r="P15" s="41">
        <v>13731474</v>
      </c>
      <c r="Q15" s="41">
        <v>13742060</v>
      </c>
      <c r="R15" s="41">
        <v>13754032</v>
      </c>
      <c r="S15" s="41">
        <v>13766461</v>
      </c>
      <c r="T15" s="41">
        <v>13778425</v>
      </c>
      <c r="U15" s="41">
        <v>13790776</v>
      </c>
      <c r="V15" s="41">
        <v>13803284</v>
      </c>
      <c r="W15" s="41">
        <v>13815223</v>
      </c>
      <c r="X15" s="41">
        <v>13827319</v>
      </c>
      <c r="Y15" s="41">
        <v>13841240</v>
      </c>
      <c r="Z15" s="41">
        <v>13851220</v>
      </c>
      <c r="AA15" s="41">
        <v>13863045</v>
      </c>
      <c r="AB15" s="41">
        <v>13874884</v>
      </c>
      <c r="AC15" s="44">
        <v>13886747</v>
      </c>
      <c r="AD15" s="41">
        <v>13898572</v>
      </c>
      <c r="AE15" s="41">
        <v>13909686</v>
      </c>
      <c r="AF15" s="41">
        <v>13920669</v>
      </c>
    </row>
    <row r="16" spans="1:32" ht="15.75" x14ac:dyDescent="0.25">
      <c r="A16" s="7" t="s">
        <v>19</v>
      </c>
      <c r="B16" s="7" t="s">
        <v>20</v>
      </c>
      <c r="C16" s="41">
        <v>4604909</v>
      </c>
      <c r="D16" s="41">
        <v>4605030</v>
      </c>
      <c r="E16" s="41">
        <v>4605133</v>
      </c>
      <c r="F16" s="41">
        <v>4605246</v>
      </c>
      <c r="G16" s="41">
        <v>4605356</v>
      </c>
      <c r="H16" s="41">
        <v>4605476</v>
      </c>
      <c r="I16" s="41">
        <v>4605578</v>
      </c>
      <c r="J16" s="41">
        <v>4605688</v>
      </c>
      <c r="K16" s="41">
        <v>4605798</v>
      </c>
      <c r="L16" s="41">
        <v>4605911</v>
      </c>
      <c r="M16" s="41">
        <v>4606022</v>
      </c>
      <c r="N16" s="41">
        <v>4606135</v>
      </c>
      <c r="O16" s="41">
        <v>4606247</v>
      </c>
      <c r="P16" s="41">
        <v>4606356</v>
      </c>
      <c r="Q16" s="41">
        <v>4606469</v>
      </c>
      <c r="R16" s="41">
        <v>4606582</v>
      </c>
      <c r="S16" s="41">
        <v>4606695</v>
      </c>
      <c r="T16" s="41">
        <v>4606803</v>
      </c>
      <c r="U16" s="41">
        <v>4606915</v>
      </c>
      <c r="V16" s="41">
        <v>4607029</v>
      </c>
      <c r="W16" s="41">
        <v>4607137</v>
      </c>
      <c r="X16" s="41">
        <v>4607251</v>
      </c>
      <c r="Y16" s="41">
        <v>4607381</v>
      </c>
      <c r="Z16" s="41">
        <v>4607475</v>
      </c>
      <c r="AA16" s="41">
        <v>4607585</v>
      </c>
      <c r="AB16" s="41">
        <v>4607696</v>
      </c>
      <c r="AC16" s="44">
        <v>4607808</v>
      </c>
      <c r="AD16" s="41">
        <v>4607920</v>
      </c>
      <c r="AE16" s="41">
        <v>4608031</v>
      </c>
      <c r="AF16" s="41">
        <v>4608141</v>
      </c>
    </row>
    <row r="17" spans="1:32" ht="15.75" x14ac:dyDescent="0.25">
      <c r="A17" s="7"/>
      <c r="B17" s="7"/>
      <c r="C17" s="39"/>
      <c r="D17" s="27"/>
      <c r="E17" s="39"/>
      <c r="F17" s="27"/>
      <c r="G17" s="39"/>
      <c r="H17" s="27"/>
      <c r="I17" s="39"/>
      <c r="J17" s="27"/>
      <c r="K17" s="39"/>
      <c r="L17" s="27"/>
      <c r="M17" s="39"/>
      <c r="N17" s="27"/>
      <c r="O17" s="39"/>
      <c r="P17" s="27"/>
      <c r="Q17" s="39"/>
      <c r="R17" s="39"/>
      <c r="S17" s="39"/>
      <c r="T17" s="27"/>
      <c r="U17" s="27"/>
      <c r="V17" s="27"/>
      <c r="W17" s="39"/>
      <c r="X17" s="27"/>
      <c r="Y17" s="27"/>
      <c r="Z17" s="27"/>
      <c r="AA17" s="27"/>
      <c r="AB17" s="27"/>
      <c r="AC17" s="46"/>
      <c r="AD17" s="27"/>
      <c r="AE17" s="27"/>
      <c r="AF17" s="27"/>
    </row>
    <row r="18" spans="1:32" ht="15.75" x14ac:dyDescent="0.25">
      <c r="A18" s="7" t="s">
        <v>21</v>
      </c>
      <c r="B18" s="7" t="s">
        <v>22</v>
      </c>
      <c r="C18" s="41">
        <v>9287476</v>
      </c>
      <c r="D18" s="41">
        <v>9299317</v>
      </c>
      <c r="E18" s="41">
        <v>9309536</v>
      </c>
      <c r="F18" s="41">
        <v>9320126</v>
      </c>
      <c r="G18" s="41">
        <v>9331094</v>
      </c>
      <c r="H18" s="41">
        <v>9343338</v>
      </c>
      <c r="I18" s="41">
        <v>9353940</v>
      </c>
      <c r="J18" s="41">
        <v>9365215</v>
      </c>
      <c r="K18" s="41">
        <v>9376148</v>
      </c>
      <c r="L18" s="41">
        <v>9387323</v>
      </c>
      <c r="M18" s="41">
        <v>9395874</v>
      </c>
      <c r="N18" s="41">
        <v>9410130</v>
      </c>
      <c r="O18" s="41">
        <v>9424808</v>
      </c>
      <c r="P18" s="41">
        <v>9438895</v>
      </c>
      <c r="Q18" s="41">
        <v>9453254</v>
      </c>
      <c r="R18" s="41">
        <v>9467898</v>
      </c>
      <c r="S18" s="41">
        <v>9482635</v>
      </c>
      <c r="T18" s="41">
        <v>9494457</v>
      </c>
      <c r="U18" s="41">
        <v>9506034</v>
      </c>
      <c r="V18" s="41">
        <v>9517586</v>
      </c>
      <c r="W18" s="41">
        <v>9528478</v>
      </c>
      <c r="X18" s="41">
        <v>9540019</v>
      </c>
      <c r="Y18" s="41">
        <v>9553384</v>
      </c>
      <c r="Z18" s="41">
        <v>9562980</v>
      </c>
      <c r="AA18" s="41">
        <v>9574323</v>
      </c>
      <c r="AB18" s="41">
        <v>9585828</v>
      </c>
      <c r="AC18" s="44">
        <v>9596731</v>
      </c>
      <c r="AD18" s="41">
        <v>9607502</v>
      </c>
      <c r="AE18" s="41">
        <v>9618963</v>
      </c>
      <c r="AF18" s="41">
        <v>9630247</v>
      </c>
    </row>
    <row r="19" spans="1:32" ht="15.75" x14ac:dyDescent="0.25">
      <c r="A19" s="7" t="s">
        <v>23</v>
      </c>
      <c r="B19" s="7" t="s">
        <v>24</v>
      </c>
      <c r="C19" s="41">
        <v>15526069</v>
      </c>
      <c r="D19" s="41">
        <v>15540786</v>
      </c>
      <c r="E19" s="41">
        <v>15553471</v>
      </c>
      <c r="F19" s="41">
        <v>15566294</v>
      </c>
      <c r="G19" s="41">
        <v>15578918</v>
      </c>
      <c r="H19" s="41">
        <v>15592802</v>
      </c>
      <c r="I19" s="41">
        <v>15605103</v>
      </c>
      <c r="J19" s="41">
        <v>15618317</v>
      </c>
      <c r="K19" s="41">
        <v>15631312</v>
      </c>
      <c r="L19" s="41">
        <v>15644596</v>
      </c>
      <c r="M19" s="41">
        <v>15654275</v>
      </c>
      <c r="N19" s="41">
        <v>15664119</v>
      </c>
      <c r="O19" s="41">
        <v>15674385</v>
      </c>
      <c r="P19" s="41">
        <v>15684255</v>
      </c>
      <c r="Q19" s="41">
        <v>15694502</v>
      </c>
      <c r="R19" s="41">
        <v>15704867</v>
      </c>
      <c r="S19" s="41">
        <v>15715160</v>
      </c>
      <c r="T19" s="41">
        <v>15727510</v>
      </c>
      <c r="U19" s="41">
        <v>15740990</v>
      </c>
      <c r="V19" s="41">
        <v>15754245</v>
      </c>
      <c r="W19" s="41">
        <v>15766944</v>
      </c>
      <c r="X19" s="41">
        <v>15780392</v>
      </c>
      <c r="Y19" s="41">
        <v>15796069</v>
      </c>
      <c r="Z19" s="41">
        <v>15807261</v>
      </c>
      <c r="AA19" s="41">
        <v>15820534</v>
      </c>
      <c r="AB19" s="41">
        <v>15833858</v>
      </c>
      <c r="AC19" s="44">
        <v>15846486</v>
      </c>
      <c r="AD19" s="41">
        <v>15858961</v>
      </c>
      <c r="AE19" s="41">
        <v>15872353</v>
      </c>
      <c r="AF19" s="41">
        <v>15885540</v>
      </c>
    </row>
    <row r="20" spans="1:32" ht="15.75" x14ac:dyDescent="0.25">
      <c r="A20" s="7" t="s">
        <v>25</v>
      </c>
      <c r="B20" s="7" t="s">
        <v>26</v>
      </c>
      <c r="C20" s="41">
        <v>5568161</v>
      </c>
      <c r="D20" s="41">
        <v>5568277</v>
      </c>
      <c r="E20" s="41">
        <v>5568376</v>
      </c>
      <c r="F20" s="41">
        <v>5568483</v>
      </c>
      <c r="G20" s="41">
        <v>5568587</v>
      </c>
      <c r="H20" s="41">
        <v>5568701</v>
      </c>
      <c r="I20" s="41">
        <v>5568797</v>
      </c>
      <c r="J20" s="41">
        <v>5568902</v>
      </c>
      <c r="K20" s="41">
        <v>5569006</v>
      </c>
      <c r="L20" s="41">
        <v>5569114</v>
      </c>
      <c r="M20" s="41">
        <v>5569221</v>
      </c>
      <c r="N20" s="41">
        <v>5569328</v>
      </c>
      <c r="O20" s="41">
        <v>5569435</v>
      </c>
      <c r="P20" s="41">
        <v>5569539</v>
      </c>
      <c r="Q20" s="41">
        <v>5569647</v>
      </c>
      <c r="R20" s="41">
        <v>5569754</v>
      </c>
      <c r="S20" s="41">
        <v>5569862</v>
      </c>
      <c r="T20" s="41">
        <v>5569965</v>
      </c>
      <c r="U20" s="41">
        <v>5570071</v>
      </c>
      <c r="V20" s="41">
        <v>5570180</v>
      </c>
      <c r="W20" s="41">
        <v>5570283</v>
      </c>
      <c r="X20" s="41">
        <v>5570392</v>
      </c>
      <c r="Y20" s="41">
        <v>5570516</v>
      </c>
      <c r="Z20" s="41">
        <v>5570605</v>
      </c>
      <c r="AA20" s="41">
        <v>5570710</v>
      </c>
      <c r="AB20" s="41">
        <v>5570815</v>
      </c>
      <c r="AC20" s="44">
        <v>5570922</v>
      </c>
      <c r="AD20" s="41">
        <v>5571028</v>
      </c>
      <c r="AE20" s="41">
        <v>5571134</v>
      </c>
      <c r="AF20" s="41">
        <v>5571239</v>
      </c>
    </row>
    <row r="21" spans="1:32" ht="15.75" x14ac:dyDescent="0.25">
      <c r="A21" s="7"/>
      <c r="B21" s="7" t="s">
        <v>27</v>
      </c>
      <c r="C21" s="41">
        <v>708668</v>
      </c>
      <c r="D21" s="41">
        <v>708705</v>
      </c>
      <c r="E21" s="41">
        <v>708736</v>
      </c>
      <c r="F21" s="41">
        <v>708771</v>
      </c>
      <c r="G21" s="41">
        <v>708805</v>
      </c>
      <c r="H21" s="41">
        <v>709726</v>
      </c>
      <c r="I21" s="41">
        <v>710146</v>
      </c>
      <c r="J21" s="41">
        <v>710180</v>
      </c>
      <c r="K21" s="41">
        <v>710214</v>
      </c>
      <c r="L21" s="41">
        <v>710869</v>
      </c>
      <c r="M21" s="41">
        <v>711495</v>
      </c>
      <c r="N21" s="41">
        <v>711954</v>
      </c>
      <c r="O21" s="41">
        <v>711988</v>
      </c>
      <c r="P21" s="41">
        <v>712021</v>
      </c>
      <c r="Q21" s="41">
        <v>712054</v>
      </c>
      <c r="R21" s="41">
        <v>712088</v>
      </c>
      <c r="S21" s="41">
        <v>713751</v>
      </c>
      <c r="T21" s="41">
        <v>714692</v>
      </c>
      <c r="U21" s="41">
        <v>717290</v>
      </c>
      <c r="V21" s="41">
        <v>717325</v>
      </c>
      <c r="W21" s="41">
        <v>717357</v>
      </c>
      <c r="X21" s="41">
        <v>717391</v>
      </c>
      <c r="Y21" s="41">
        <v>717431</v>
      </c>
      <c r="Z21" s="41">
        <v>718323</v>
      </c>
      <c r="AA21" s="41">
        <v>718356</v>
      </c>
      <c r="AB21" s="41">
        <v>718390</v>
      </c>
      <c r="AC21" s="44">
        <v>719125</v>
      </c>
      <c r="AD21" s="41">
        <v>721611</v>
      </c>
      <c r="AE21" s="41">
        <v>722873</v>
      </c>
      <c r="AF21" s="41">
        <v>723645</v>
      </c>
    </row>
    <row r="22" spans="1:32" ht="15.75" x14ac:dyDescent="0.25">
      <c r="A22" s="7"/>
      <c r="B22" s="7" t="s">
        <v>28</v>
      </c>
      <c r="C22" s="41">
        <v>735674</v>
      </c>
      <c r="D22" s="41">
        <v>735715</v>
      </c>
      <c r="E22" s="41">
        <v>735749</v>
      </c>
      <c r="F22" s="41">
        <v>735787</v>
      </c>
      <c r="G22" s="41">
        <v>735824</v>
      </c>
      <c r="H22" s="41">
        <v>736879</v>
      </c>
      <c r="I22" s="41">
        <v>737308</v>
      </c>
      <c r="J22" s="41">
        <v>737345</v>
      </c>
      <c r="K22" s="41">
        <v>737381</v>
      </c>
      <c r="L22" s="41">
        <v>738044</v>
      </c>
      <c r="M22" s="41">
        <v>738681</v>
      </c>
      <c r="N22" s="41">
        <v>739148</v>
      </c>
      <c r="O22" s="41">
        <v>739186</v>
      </c>
      <c r="P22" s="41">
        <v>739222</v>
      </c>
      <c r="Q22" s="41">
        <v>739259</v>
      </c>
      <c r="R22" s="41">
        <v>739296</v>
      </c>
      <c r="S22" s="41">
        <v>740988</v>
      </c>
      <c r="T22" s="41">
        <v>741939</v>
      </c>
      <c r="U22" s="41">
        <v>744579</v>
      </c>
      <c r="V22" s="41">
        <v>744617</v>
      </c>
      <c r="W22" s="41">
        <v>744653</v>
      </c>
      <c r="X22" s="41">
        <v>744690</v>
      </c>
      <c r="Y22" s="41">
        <v>744733</v>
      </c>
      <c r="Z22" s="41">
        <v>745640</v>
      </c>
      <c r="AA22" s="41">
        <v>745677</v>
      </c>
      <c r="AB22" s="41">
        <v>745713</v>
      </c>
      <c r="AC22" s="44">
        <v>746462</v>
      </c>
      <c r="AD22" s="41">
        <v>748975</v>
      </c>
      <c r="AE22" s="41">
        <v>750242</v>
      </c>
      <c r="AF22" s="41">
        <v>751010</v>
      </c>
    </row>
    <row r="23" spans="1:32" ht="15.75" x14ac:dyDescent="0.25">
      <c r="A23" s="7"/>
      <c r="B23" s="7"/>
      <c r="C23" s="39"/>
      <c r="D23" s="27"/>
      <c r="E23" s="39"/>
      <c r="F23" s="27"/>
      <c r="G23" s="39"/>
      <c r="H23" s="27"/>
      <c r="I23" s="39"/>
      <c r="J23" s="27"/>
      <c r="K23" s="39"/>
      <c r="L23" s="27"/>
      <c r="M23" s="39"/>
      <c r="N23" s="27"/>
      <c r="O23" s="39"/>
      <c r="P23" s="27"/>
      <c r="Q23" s="39"/>
      <c r="R23" s="39"/>
      <c r="S23" s="39"/>
      <c r="T23" s="27"/>
      <c r="U23" s="27"/>
      <c r="V23" s="27"/>
      <c r="W23" s="39"/>
      <c r="X23" s="27"/>
      <c r="Y23" s="27"/>
      <c r="Z23" s="27"/>
      <c r="AA23" s="27"/>
      <c r="AB23" s="27"/>
      <c r="AC23" s="46"/>
      <c r="AD23" s="27"/>
      <c r="AE23" s="27"/>
      <c r="AF23" s="27"/>
    </row>
    <row r="24" spans="1:32" ht="15.75" x14ac:dyDescent="0.25">
      <c r="A24" s="7" t="s">
        <v>29</v>
      </c>
      <c r="B24" s="7" t="s">
        <v>30</v>
      </c>
      <c r="C24" s="41">
        <v>19224594</v>
      </c>
      <c r="D24" s="41">
        <v>19244848</v>
      </c>
      <c r="E24" s="41">
        <v>19257006</v>
      </c>
      <c r="F24" s="41">
        <v>19274501</v>
      </c>
      <c r="G24" s="41">
        <v>19291845</v>
      </c>
      <c r="H24" s="41">
        <v>19307315</v>
      </c>
      <c r="I24" s="41">
        <v>19320570</v>
      </c>
      <c r="J24" s="41">
        <v>19333795</v>
      </c>
      <c r="K24" s="41">
        <v>19347004</v>
      </c>
      <c r="L24" s="41">
        <v>19361258</v>
      </c>
      <c r="M24" s="41">
        <v>19372566</v>
      </c>
      <c r="N24" s="41">
        <v>19384550</v>
      </c>
      <c r="O24" s="41">
        <v>19401004</v>
      </c>
      <c r="P24" s="41">
        <v>19416467</v>
      </c>
      <c r="Q24" s="41">
        <v>19428654</v>
      </c>
      <c r="R24" s="41">
        <v>19443685</v>
      </c>
      <c r="S24" s="41">
        <v>19458480</v>
      </c>
      <c r="T24" s="41">
        <v>19473056</v>
      </c>
      <c r="U24" s="41">
        <v>19486790</v>
      </c>
      <c r="V24" s="41">
        <v>19501622</v>
      </c>
      <c r="W24" s="41">
        <v>19514861</v>
      </c>
      <c r="X24" s="41">
        <v>19530394</v>
      </c>
      <c r="Y24" s="41">
        <v>19546917</v>
      </c>
      <c r="Z24" s="41">
        <v>19557472</v>
      </c>
      <c r="AA24" s="41">
        <v>19571355</v>
      </c>
      <c r="AB24" s="41">
        <v>19584579</v>
      </c>
      <c r="AC24" s="44">
        <v>19596810</v>
      </c>
      <c r="AD24" s="41">
        <v>19608920</v>
      </c>
      <c r="AE24" s="41">
        <v>19620612</v>
      </c>
      <c r="AF24" s="41">
        <v>19632154</v>
      </c>
    </row>
    <row r="25" spans="1:32" ht="15.75" x14ac:dyDescent="0.25">
      <c r="A25" s="7" t="s">
        <v>31</v>
      </c>
      <c r="B25" s="7" t="s">
        <v>32</v>
      </c>
      <c r="C25" s="41">
        <v>16909633</v>
      </c>
      <c r="D25" s="41">
        <v>16929134</v>
      </c>
      <c r="E25" s="41">
        <v>16946111</v>
      </c>
      <c r="F25" s="41">
        <v>16963495</v>
      </c>
      <c r="G25" s="41">
        <v>16981537</v>
      </c>
      <c r="H25" s="41">
        <v>17001533</v>
      </c>
      <c r="I25" s="41">
        <v>17019034</v>
      </c>
      <c r="J25" s="41">
        <v>17036152</v>
      </c>
      <c r="K25" s="41">
        <v>17054450</v>
      </c>
      <c r="L25" s="41">
        <v>17072301</v>
      </c>
      <c r="M25" s="41">
        <v>17089793</v>
      </c>
      <c r="N25" s="41">
        <v>17104051</v>
      </c>
      <c r="O25" s="41">
        <v>17121255</v>
      </c>
      <c r="P25" s="41">
        <v>17136437</v>
      </c>
      <c r="Q25" s="41">
        <v>17152716</v>
      </c>
      <c r="R25" s="41">
        <v>17169010</v>
      </c>
      <c r="S25" s="41">
        <v>17185787</v>
      </c>
      <c r="T25" s="41">
        <v>17202587</v>
      </c>
      <c r="U25" s="41">
        <v>17217048</v>
      </c>
      <c r="V25" s="41">
        <v>17232669</v>
      </c>
      <c r="W25" s="41">
        <v>17248533</v>
      </c>
      <c r="X25" s="41">
        <v>17261175</v>
      </c>
      <c r="Y25" s="41">
        <v>17279635</v>
      </c>
      <c r="Z25" s="41">
        <v>17292658</v>
      </c>
      <c r="AA25" s="41">
        <v>17308069</v>
      </c>
      <c r="AB25" s="41">
        <v>17324993</v>
      </c>
      <c r="AC25" s="44">
        <v>17341357</v>
      </c>
      <c r="AD25" s="41">
        <v>17356063</v>
      </c>
      <c r="AE25" s="41">
        <v>17369622</v>
      </c>
      <c r="AF25" s="41">
        <v>17381889</v>
      </c>
    </row>
    <row r="26" spans="1:32" ht="15.75" x14ac:dyDescent="0.25">
      <c r="A26" s="7" t="s">
        <v>33</v>
      </c>
      <c r="B26" s="7" t="s">
        <v>34</v>
      </c>
      <c r="C26" s="41">
        <v>6160192</v>
      </c>
      <c r="D26" s="41">
        <v>6164533</v>
      </c>
      <c r="E26" s="41">
        <v>6168150</v>
      </c>
      <c r="F26" s="41">
        <v>6172047</v>
      </c>
      <c r="G26" s="41">
        <v>6175793</v>
      </c>
      <c r="H26" s="41">
        <v>6179781</v>
      </c>
      <c r="I26" s="41">
        <v>6183245</v>
      </c>
      <c r="J26" s="41">
        <v>6186707</v>
      </c>
      <c r="K26" s="41">
        <v>6190101</v>
      </c>
      <c r="L26" s="41">
        <v>6193447</v>
      </c>
      <c r="M26" s="41">
        <v>6197938</v>
      </c>
      <c r="N26" s="41">
        <v>6201901</v>
      </c>
      <c r="O26" s="41">
        <v>6206099</v>
      </c>
      <c r="P26" s="41">
        <v>6210024</v>
      </c>
      <c r="Q26" s="41">
        <v>6213642</v>
      </c>
      <c r="R26" s="41">
        <v>6218522</v>
      </c>
      <c r="S26" s="41">
        <v>6222465</v>
      </c>
      <c r="T26" s="41">
        <v>6226261</v>
      </c>
      <c r="U26" s="41">
        <v>6231827</v>
      </c>
      <c r="V26" s="41">
        <v>6237649</v>
      </c>
      <c r="W26" s="41">
        <v>6243007</v>
      </c>
      <c r="X26" s="41">
        <v>6248725</v>
      </c>
      <c r="Y26" s="41">
        <v>6255105</v>
      </c>
      <c r="Z26" s="41">
        <v>6259714</v>
      </c>
      <c r="AA26" s="41">
        <v>6265019</v>
      </c>
      <c r="AB26" s="41">
        <v>6270202</v>
      </c>
      <c r="AC26" s="44">
        <v>6274800</v>
      </c>
      <c r="AD26" s="41">
        <v>6279870</v>
      </c>
      <c r="AE26" s="41">
        <v>6285182</v>
      </c>
      <c r="AF26" s="41">
        <v>6289413</v>
      </c>
    </row>
    <row r="27" spans="1:32" ht="15.75" x14ac:dyDescent="0.25">
      <c r="A27" s="7" t="s">
        <v>35</v>
      </c>
      <c r="B27" s="7" t="s">
        <v>36</v>
      </c>
      <c r="C27" s="41">
        <v>92626304</v>
      </c>
      <c r="D27" s="41">
        <v>92687722</v>
      </c>
      <c r="E27" s="41">
        <v>92740237</v>
      </c>
      <c r="F27" s="41">
        <v>92796850</v>
      </c>
      <c r="G27" s="41">
        <v>92852705</v>
      </c>
      <c r="H27" s="41">
        <v>92915638</v>
      </c>
      <c r="I27" s="41">
        <v>92972180</v>
      </c>
      <c r="J27" s="41">
        <v>93030659</v>
      </c>
      <c r="K27" s="41">
        <v>93087813</v>
      </c>
      <c r="L27" s="41">
        <v>93145909</v>
      </c>
      <c r="M27" s="41">
        <v>93204089</v>
      </c>
      <c r="N27" s="41">
        <v>93262918</v>
      </c>
      <c r="O27" s="41">
        <v>93323312</v>
      </c>
      <c r="P27" s="41">
        <v>93375293</v>
      </c>
      <c r="Q27" s="41">
        <v>93434002</v>
      </c>
      <c r="R27" s="41">
        <v>93493569</v>
      </c>
      <c r="S27" s="41">
        <v>93554565</v>
      </c>
      <c r="T27" s="41">
        <v>93614820</v>
      </c>
      <c r="U27" s="41">
        <v>93676019</v>
      </c>
      <c r="V27" s="41">
        <v>93738757</v>
      </c>
      <c r="W27" s="41">
        <v>93797733</v>
      </c>
      <c r="X27" s="41">
        <v>93859619</v>
      </c>
      <c r="Y27" s="41">
        <v>93931080</v>
      </c>
      <c r="Z27" s="41">
        <v>93979847</v>
      </c>
      <c r="AA27" s="41">
        <v>94037716</v>
      </c>
      <c r="AB27" s="41">
        <v>94095935</v>
      </c>
      <c r="AC27" s="44">
        <v>94154149</v>
      </c>
      <c r="AD27" s="41">
        <v>94211992</v>
      </c>
      <c r="AE27" s="41">
        <v>94270042</v>
      </c>
      <c r="AF27" s="41">
        <v>94325974</v>
      </c>
    </row>
    <row r="28" spans="1:32" ht="15.75" x14ac:dyDescent="0.25">
      <c r="A28" s="7" t="s">
        <v>37</v>
      </c>
      <c r="B28" s="7" t="s">
        <v>38</v>
      </c>
      <c r="C28" s="41">
        <v>5377981</v>
      </c>
      <c r="D28" s="41">
        <v>5382673</v>
      </c>
      <c r="E28" s="41">
        <v>5386487</v>
      </c>
      <c r="F28" s="41">
        <v>5390855</v>
      </c>
      <c r="G28" s="41">
        <v>5395295</v>
      </c>
      <c r="H28" s="41">
        <v>5400225</v>
      </c>
      <c r="I28" s="41">
        <v>5404538</v>
      </c>
      <c r="J28" s="41">
        <v>5408996</v>
      </c>
      <c r="K28" s="41">
        <v>5413303</v>
      </c>
      <c r="L28" s="41">
        <v>5417659</v>
      </c>
      <c r="M28" s="41">
        <v>5422097</v>
      </c>
      <c r="N28" s="41">
        <v>5426622</v>
      </c>
      <c r="O28" s="41">
        <v>5431155</v>
      </c>
      <c r="P28" s="41">
        <v>5434986</v>
      </c>
      <c r="Q28" s="41">
        <v>5439303</v>
      </c>
      <c r="R28" s="41">
        <v>5443728</v>
      </c>
      <c r="S28" s="41">
        <v>5448277</v>
      </c>
      <c r="T28" s="41">
        <v>5452676</v>
      </c>
      <c r="U28" s="41">
        <v>5457204</v>
      </c>
      <c r="V28" s="41">
        <v>5461884</v>
      </c>
      <c r="W28" s="41">
        <v>5466302</v>
      </c>
      <c r="X28" s="41">
        <v>5470736</v>
      </c>
      <c r="Y28" s="41">
        <v>5476014</v>
      </c>
      <c r="Z28" s="41">
        <v>5479643</v>
      </c>
      <c r="AA28" s="41">
        <v>5483955</v>
      </c>
      <c r="AB28" s="41">
        <v>5488245</v>
      </c>
      <c r="AC28" s="44">
        <v>5492581</v>
      </c>
      <c r="AD28" s="41">
        <v>5496976</v>
      </c>
      <c r="AE28" s="41">
        <v>5501369</v>
      </c>
      <c r="AF28" s="41">
        <v>5505714</v>
      </c>
    </row>
    <row r="29" spans="1:32" ht="15.75" x14ac:dyDescent="0.25">
      <c r="A29" s="7" t="s">
        <v>77</v>
      </c>
      <c r="B29" s="7" t="s">
        <v>79</v>
      </c>
      <c r="C29" s="41">
        <v>5196923</v>
      </c>
      <c r="D29" s="41">
        <v>5284964</v>
      </c>
      <c r="E29" s="41">
        <v>5359003</v>
      </c>
      <c r="F29" s="41">
        <v>5438952</v>
      </c>
      <c r="G29" s="41">
        <v>5522428</v>
      </c>
      <c r="H29" s="41">
        <v>5612999</v>
      </c>
      <c r="I29" s="41">
        <v>5700508</v>
      </c>
      <c r="J29" s="41">
        <v>5791330</v>
      </c>
      <c r="K29" s="41">
        <v>5871142</v>
      </c>
      <c r="L29" s="41">
        <v>5952844</v>
      </c>
      <c r="M29" s="41">
        <v>6032534</v>
      </c>
      <c r="N29" s="41">
        <v>6115506</v>
      </c>
      <c r="O29" s="41">
        <v>6201376</v>
      </c>
      <c r="P29" s="41">
        <v>6281099</v>
      </c>
      <c r="Q29" s="41">
        <v>6362566</v>
      </c>
      <c r="R29" s="109">
        <v>6444576</v>
      </c>
      <c r="S29" s="41">
        <v>6548942</v>
      </c>
      <c r="T29" s="41">
        <v>6648686</v>
      </c>
      <c r="U29" s="41">
        <v>6755897</v>
      </c>
      <c r="V29" s="41">
        <v>6848888</v>
      </c>
      <c r="W29" s="41">
        <v>6937746</v>
      </c>
      <c r="X29" s="41">
        <v>7027481</v>
      </c>
      <c r="Y29" s="41">
        <v>7133101</v>
      </c>
      <c r="Z29" s="41">
        <v>7208406</v>
      </c>
      <c r="AA29" s="41">
        <v>7301220</v>
      </c>
      <c r="AB29" s="41">
        <v>7388159</v>
      </c>
      <c r="AC29" s="44">
        <v>7473337</v>
      </c>
      <c r="AD29" s="41">
        <v>7558492</v>
      </c>
      <c r="AE29" s="41">
        <v>7638809</v>
      </c>
      <c r="AF29" s="41">
        <v>7717154</v>
      </c>
    </row>
    <row r="30" spans="1:32" ht="15.75" x14ac:dyDescent="0.25">
      <c r="A30" s="7" t="s">
        <v>78</v>
      </c>
      <c r="B30" s="7" t="s">
        <v>40</v>
      </c>
      <c r="C30" s="41">
        <v>175531634</v>
      </c>
      <c r="D30" s="41">
        <v>175571519</v>
      </c>
      <c r="E30" s="41">
        <v>175604765</v>
      </c>
      <c r="F30" s="41">
        <v>175644875</v>
      </c>
      <c r="G30" s="41">
        <v>175689324</v>
      </c>
      <c r="H30" s="41">
        <v>175730694</v>
      </c>
      <c r="I30" s="41">
        <v>175757098</v>
      </c>
      <c r="J30" s="41">
        <v>175781607</v>
      </c>
      <c r="K30" s="41">
        <v>175819757</v>
      </c>
      <c r="L30" s="41">
        <v>175859669</v>
      </c>
      <c r="M30" s="41">
        <v>175893497</v>
      </c>
      <c r="N30" s="41">
        <v>175931623</v>
      </c>
      <c r="O30" s="41">
        <v>175966648</v>
      </c>
      <c r="P30" s="41">
        <v>175999570</v>
      </c>
      <c r="Q30" s="41">
        <v>176033846</v>
      </c>
      <c r="R30" s="41">
        <v>176069462</v>
      </c>
      <c r="S30" s="41">
        <v>176090905</v>
      </c>
      <c r="T30" s="41">
        <v>176114212</v>
      </c>
      <c r="U30" s="41">
        <v>176132501</v>
      </c>
      <c r="V30" s="41">
        <v>176155239</v>
      </c>
      <c r="W30" s="41">
        <v>176182145</v>
      </c>
      <c r="X30" s="41">
        <v>176203263</v>
      </c>
      <c r="Y30" s="41">
        <v>176234591</v>
      </c>
      <c r="Z30" s="41">
        <v>176259024</v>
      </c>
      <c r="AA30" s="41">
        <v>176284897</v>
      </c>
      <c r="AB30" s="41">
        <v>176314890</v>
      </c>
      <c r="AC30" s="44">
        <v>176348733</v>
      </c>
      <c r="AD30" s="41">
        <v>176382218</v>
      </c>
      <c r="AE30" s="41">
        <v>176422494</v>
      </c>
      <c r="AF30" s="41">
        <v>176460708</v>
      </c>
    </row>
    <row r="31" spans="1:32" ht="15.75" x14ac:dyDescent="0.25">
      <c r="A31" s="7" t="s">
        <v>80</v>
      </c>
      <c r="B31" s="7" t="s">
        <v>81</v>
      </c>
      <c r="C31" s="41">
        <v>3013881</v>
      </c>
      <c r="D31" s="41">
        <v>3025331</v>
      </c>
      <c r="E31" s="41">
        <v>3034471</v>
      </c>
      <c r="F31" s="41">
        <v>3044547</v>
      </c>
      <c r="G31" s="41">
        <v>3046347</v>
      </c>
      <c r="H31" s="41">
        <v>3047332</v>
      </c>
      <c r="I31" s="41">
        <v>3048101</v>
      </c>
      <c r="J31" s="41">
        <v>3048868</v>
      </c>
      <c r="K31" s="41">
        <v>3049618</v>
      </c>
      <c r="L31" s="41">
        <v>3056275</v>
      </c>
      <c r="M31" s="41">
        <v>3066835</v>
      </c>
      <c r="N31" s="41">
        <v>3076236</v>
      </c>
      <c r="O31" s="41">
        <v>3087173</v>
      </c>
      <c r="P31" s="41">
        <v>3096860</v>
      </c>
      <c r="Q31" s="41">
        <v>3107297</v>
      </c>
      <c r="R31" s="41">
        <v>3118190</v>
      </c>
      <c r="S31" s="41">
        <v>3128965</v>
      </c>
      <c r="T31" s="41">
        <v>3139463</v>
      </c>
      <c r="U31" s="41">
        <v>3148102</v>
      </c>
      <c r="V31" s="41">
        <v>3157835</v>
      </c>
      <c r="W31" s="41">
        <v>3167077</v>
      </c>
      <c r="X31" s="41">
        <v>3178851</v>
      </c>
      <c r="Y31" s="41">
        <v>3192249</v>
      </c>
      <c r="Z31" s="41">
        <v>3197418</v>
      </c>
      <c r="AA31" s="41">
        <v>3208230</v>
      </c>
      <c r="AB31" s="41">
        <v>3217807</v>
      </c>
      <c r="AC31" s="44">
        <v>3221292</v>
      </c>
      <c r="AD31" s="41">
        <v>3232614</v>
      </c>
      <c r="AE31" s="41">
        <v>3242820</v>
      </c>
      <c r="AF31" s="41">
        <v>3252345</v>
      </c>
    </row>
    <row r="32" spans="1:32" ht="15.75" x14ac:dyDescent="0.25">
      <c r="A32" s="7"/>
      <c r="B32" s="7"/>
      <c r="C32" s="39"/>
      <c r="D32" s="27"/>
      <c r="E32" s="39"/>
      <c r="F32" s="27"/>
      <c r="G32" s="39"/>
      <c r="H32" s="27"/>
      <c r="I32" s="39"/>
      <c r="J32" s="27"/>
      <c r="K32" s="39"/>
      <c r="L32" s="27"/>
      <c r="M32" s="39"/>
      <c r="N32" s="27"/>
      <c r="O32" s="39"/>
      <c r="P32" s="27"/>
      <c r="Q32" s="39"/>
      <c r="R32" s="39"/>
      <c r="S32" s="39"/>
      <c r="T32" s="27"/>
      <c r="U32" s="27"/>
      <c r="V32" s="27"/>
      <c r="W32" s="39"/>
      <c r="X32" s="27"/>
      <c r="Y32" s="27"/>
      <c r="Z32" s="27"/>
      <c r="AA32" s="27"/>
      <c r="AB32" s="27"/>
      <c r="AC32" s="46"/>
      <c r="AD32" s="27"/>
      <c r="AE32" s="27"/>
      <c r="AF32" s="27"/>
    </row>
    <row r="33" spans="1:32" ht="15.75" x14ac:dyDescent="0.25">
      <c r="A33" s="7" t="s">
        <v>43</v>
      </c>
      <c r="B33" s="7" t="s">
        <v>44</v>
      </c>
      <c r="C33" s="41">
        <v>75820562</v>
      </c>
      <c r="D33" s="41">
        <v>75820564</v>
      </c>
      <c r="E33" s="41">
        <v>75820565</v>
      </c>
      <c r="F33" s="41">
        <v>75820567</v>
      </c>
      <c r="G33" s="41">
        <v>75820569</v>
      </c>
      <c r="H33" s="41">
        <v>75820570</v>
      </c>
      <c r="I33" s="41">
        <v>75820571</v>
      </c>
      <c r="J33" s="41">
        <v>75820572</v>
      </c>
      <c r="K33" s="41">
        <v>75820573</v>
      </c>
      <c r="L33" s="41">
        <v>75820575</v>
      </c>
      <c r="M33" s="41">
        <v>75820577</v>
      </c>
      <c r="N33" s="41">
        <v>75820578</v>
      </c>
      <c r="O33" s="41">
        <v>75820579</v>
      </c>
      <c r="P33" s="41">
        <v>75820581</v>
      </c>
      <c r="Q33" s="41">
        <v>75820583</v>
      </c>
      <c r="R33" s="41">
        <v>75820585</v>
      </c>
      <c r="S33" s="41">
        <v>75820587</v>
      </c>
      <c r="T33" s="41">
        <v>75820589</v>
      </c>
      <c r="U33" s="41">
        <v>75820591</v>
      </c>
      <c r="V33" s="41">
        <v>75820593</v>
      </c>
      <c r="W33" s="41">
        <v>75820595</v>
      </c>
      <c r="X33" s="41">
        <v>75820597</v>
      </c>
      <c r="Y33" s="41">
        <v>75820597</v>
      </c>
      <c r="Z33" s="41">
        <v>75820602</v>
      </c>
      <c r="AA33" s="41">
        <v>75820604</v>
      </c>
      <c r="AB33" s="41">
        <v>75820607</v>
      </c>
      <c r="AC33" s="44">
        <v>75820604</v>
      </c>
      <c r="AD33" s="41">
        <v>75820611</v>
      </c>
      <c r="AE33" s="41">
        <v>75820613</v>
      </c>
      <c r="AF33" s="41">
        <v>75820616</v>
      </c>
    </row>
    <row r="34" spans="1:32" ht="15.75" x14ac:dyDescent="0.25">
      <c r="A34" s="7" t="s">
        <v>47</v>
      </c>
      <c r="B34" s="7" t="s">
        <v>48</v>
      </c>
      <c r="C34" s="41">
        <v>14582792</v>
      </c>
      <c r="D34" s="41">
        <v>14674397</v>
      </c>
      <c r="E34" s="41">
        <v>14755363</v>
      </c>
      <c r="F34" s="41">
        <v>14848479</v>
      </c>
      <c r="G34" s="41">
        <v>14941001</v>
      </c>
      <c r="H34" s="41">
        <v>15041024</v>
      </c>
      <c r="I34" s="41">
        <v>15121566</v>
      </c>
      <c r="J34" s="41">
        <v>15208753</v>
      </c>
      <c r="K34" s="41">
        <v>15294889</v>
      </c>
      <c r="L34" s="41">
        <v>15373433</v>
      </c>
      <c r="M34" s="41">
        <v>15452610</v>
      </c>
      <c r="N34" s="41">
        <v>15536600</v>
      </c>
      <c r="O34" s="41">
        <v>15616067</v>
      </c>
      <c r="P34" s="41">
        <v>15689901</v>
      </c>
      <c r="Q34" s="41">
        <v>15771171</v>
      </c>
      <c r="R34" s="41">
        <v>15854962</v>
      </c>
      <c r="S34" s="41">
        <v>15938250</v>
      </c>
      <c r="T34" s="41">
        <v>16019263</v>
      </c>
      <c r="U34" s="41">
        <v>16103047</v>
      </c>
      <c r="V34" s="41">
        <v>16183308</v>
      </c>
      <c r="W34" s="41">
        <v>16255337</v>
      </c>
      <c r="X34" s="41">
        <v>16328336</v>
      </c>
      <c r="Y34" s="41">
        <v>16425830</v>
      </c>
      <c r="Z34" s="41">
        <v>16489097</v>
      </c>
      <c r="AA34" s="41">
        <v>16574444</v>
      </c>
      <c r="AB34" s="41">
        <v>16659038</v>
      </c>
      <c r="AC34" s="44">
        <v>16748836</v>
      </c>
      <c r="AD34" s="41">
        <v>16835395</v>
      </c>
      <c r="AE34" s="41">
        <v>16923508</v>
      </c>
      <c r="AF34" s="41">
        <v>17011802</v>
      </c>
    </row>
    <row r="35" spans="1:32" ht="15.75" x14ac:dyDescent="0.25">
      <c r="A35" s="11"/>
      <c r="B35" s="11"/>
      <c r="C35" s="39"/>
      <c r="D35" s="27"/>
      <c r="E35" s="39"/>
      <c r="F35" s="27"/>
      <c r="G35" s="39"/>
      <c r="H35" s="27"/>
      <c r="I35" s="39"/>
      <c r="J35" s="27"/>
      <c r="K35" s="39"/>
      <c r="L35" s="27"/>
      <c r="M35" s="39"/>
      <c r="N35" s="27"/>
      <c r="O35" s="39"/>
      <c r="P35" s="27"/>
      <c r="Q35" s="39"/>
      <c r="R35" s="39"/>
      <c r="S35" s="39"/>
      <c r="T35" s="27"/>
      <c r="U35" s="27"/>
      <c r="V35" s="27"/>
      <c r="W35" s="39"/>
      <c r="X35" s="27"/>
      <c r="Y35" s="27"/>
      <c r="Z35" s="27"/>
      <c r="AA35" s="27"/>
      <c r="AB35" s="27"/>
      <c r="AC35" s="46"/>
      <c r="AD35" s="27"/>
      <c r="AE35" s="27"/>
      <c r="AF35" s="27"/>
    </row>
    <row r="36" spans="1:32" ht="15.75" x14ac:dyDescent="0.25">
      <c r="A36" s="11" t="s">
        <v>49</v>
      </c>
      <c r="B36" s="11"/>
      <c r="C36" s="69">
        <v>345429375</v>
      </c>
      <c r="D36" s="69">
        <v>345602759</v>
      </c>
      <c r="E36" s="69">
        <v>345755979</v>
      </c>
      <c r="F36" s="69">
        <v>345973424</v>
      </c>
      <c r="G36" s="69">
        <v>346211166</v>
      </c>
      <c r="H36" s="69">
        <v>346386777</v>
      </c>
      <c r="I36" s="69">
        <v>346579757</v>
      </c>
      <c r="J36" s="69">
        <v>346811192</v>
      </c>
      <c r="K36" s="69">
        <v>347134976</v>
      </c>
      <c r="L36" s="69">
        <v>347369314</v>
      </c>
      <c r="M36" s="69">
        <v>347546056</v>
      </c>
      <c r="N36" s="69">
        <v>347706605</v>
      </c>
      <c r="O36" s="69">
        <v>347887834</v>
      </c>
      <c r="P36" s="69">
        <v>348112561</v>
      </c>
      <c r="Q36" s="69">
        <v>348283609</v>
      </c>
      <c r="R36" s="69">
        <v>348524184</v>
      </c>
      <c r="S36" s="69">
        <v>348785779</v>
      </c>
      <c r="T36" s="69">
        <v>349042157</v>
      </c>
      <c r="U36" s="69">
        <v>349325792</v>
      </c>
      <c r="V36" s="69">
        <v>349528874</v>
      </c>
      <c r="W36" s="69">
        <v>349736897</v>
      </c>
      <c r="X36" s="69">
        <v>349946687</v>
      </c>
      <c r="Y36" s="69">
        <v>350247625</v>
      </c>
      <c r="Z36" s="69">
        <v>350513623</v>
      </c>
      <c r="AA36" s="69">
        <v>350813160</v>
      </c>
      <c r="AB36" s="69">
        <v>351114062</v>
      </c>
      <c r="AC36" s="97">
        <v>351388928</v>
      </c>
      <c r="AD36" s="69">
        <v>351712770</v>
      </c>
      <c r="AE36" s="69">
        <v>352019411</v>
      </c>
      <c r="AF36" s="69">
        <v>352294500</v>
      </c>
    </row>
    <row r="37" spans="1:32" ht="18.75" x14ac:dyDescent="0.25">
      <c r="A37" s="12" t="s">
        <v>50</v>
      </c>
      <c r="B37" s="12"/>
      <c r="C37" s="69">
        <v>90403354</v>
      </c>
      <c r="D37" s="69">
        <v>90494961</v>
      </c>
      <c r="E37" s="69">
        <v>90575928</v>
      </c>
      <c r="F37" s="69">
        <v>90669046</v>
      </c>
      <c r="G37" s="69">
        <v>90761570</v>
      </c>
      <c r="H37" s="69">
        <v>90861594</v>
      </c>
      <c r="I37" s="69">
        <v>90942137</v>
      </c>
      <c r="J37" s="69">
        <v>91029325</v>
      </c>
      <c r="K37" s="69">
        <v>91115462</v>
      </c>
      <c r="L37" s="69">
        <v>91194008</v>
      </c>
      <c r="M37" s="69">
        <v>91273187</v>
      </c>
      <c r="N37" s="69">
        <v>91357178</v>
      </c>
      <c r="O37" s="69">
        <v>91436646</v>
      </c>
      <c r="P37" s="69">
        <v>91510482</v>
      </c>
      <c r="Q37" s="69">
        <v>91591754</v>
      </c>
      <c r="R37" s="69">
        <v>91675547</v>
      </c>
      <c r="S37" s="69">
        <v>91758837</v>
      </c>
      <c r="T37" s="69">
        <v>91839852</v>
      </c>
      <c r="U37" s="69">
        <v>91923638</v>
      </c>
      <c r="V37" s="69">
        <v>92003901</v>
      </c>
      <c r="W37" s="69">
        <v>92075932</v>
      </c>
      <c r="X37" s="69">
        <v>92148933</v>
      </c>
      <c r="Y37" s="69">
        <v>92246427</v>
      </c>
      <c r="Z37" s="69">
        <v>92309699</v>
      </c>
      <c r="AA37" s="69">
        <v>92395048</v>
      </c>
      <c r="AB37" s="69">
        <v>92479645</v>
      </c>
      <c r="AC37" s="97">
        <v>92569440</v>
      </c>
      <c r="AD37" s="69">
        <v>92656006</v>
      </c>
      <c r="AE37" s="69">
        <v>92744121</v>
      </c>
      <c r="AF37" s="69">
        <v>92832418</v>
      </c>
    </row>
    <row r="38" spans="1:32" ht="18.75" x14ac:dyDescent="0.25">
      <c r="A38" s="13" t="s">
        <v>51</v>
      </c>
      <c r="B38" s="13"/>
      <c r="C38" s="69">
        <v>67776379</v>
      </c>
      <c r="D38" s="69">
        <v>67839515</v>
      </c>
      <c r="E38" s="69">
        <v>67892876</v>
      </c>
      <c r="F38" s="69">
        <v>67949504</v>
      </c>
      <c r="G38" s="69">
        <v>67997957</v>
      </c>
      <c r="H38" s="69">
        <v>68052383</v>
      </c>
      <c r="I38" s="69">
        <v>68098509</v>
      </c>
      <c r="J38" s="69">
        <v>68147193</v>
      </c>
      <c r="K38" s="69">
        <v>68194318</v>
      </c>
      <c r="L38" s="69">
        <v>68250134</v>
      </c>
      <c r="M38" s="69">
        <v>68302695</v>
      </c>
      <c r="N38" s="69">
        <v>68354653</v>
      </c>
      <c r="O38" s="69">
        <v>68413946</v>
      </c>
      <c r="P38" s="69">
        <v>68470023</v>
      </c>
      <c r="Q38" s="69">
        <v>68525686</v>
      </c>
      <c r="R38" s="69">
        <v>68584782</v>
      </c>
      <c r="S38" s="69">
        <v>68647974</v>
      </c>
      <c r="T38" s="69">
        <v>68707667</v>
      </c>
      <c r="U38" s="69">
        <v>68769927</v>
      </c>
      <c r="V38" s="69">
        <v>68828491</v>
      </c>
      <c r="W38" s="69">
        <v>68884086</v>
      </c>
      <c r="X38" s="69">
        <v>68942830</v>
      </c>
      <c r="Y38" s="69">
        <v>69012647</v>
      </c>
      <c r="Z38" s="69">
        <v>69060251</v>
      </c>
      <c r="AA38" s="69">
        <v>69119366</v>
      </c>
      <c r="AB38" s="69">
        <v>69177489</v>
      </c>
      <c r="AC38" s="97">
        <v>69229637</v>
      </c>
      <c r="AD38" s="69">
        <v>69292956</v>
      </c>
      <c r="AE38" s="69">
        <v>69352924</v>
      </c>
      <c r="AF38" s="69">
        <v>69410559</v>
      </c>
    </row>
    <row r="39" spans="1:32" ht="18.75" x14ac:dyDescent="0.25">
      <c r="A39" s="14" t="s">
        <v>52</v>
      </c>
      <c r="B39" s="14"/>
      <c r="C39" s="69">
        <v>559439597</v>
      </c>
      <c r="D39" s="69">
        <v>559928510</v>
      </c>
      <c r="E39" s="69">
        <v>560348239</v>
      </c>
      <c r="F39" s="69">
        <v>560799080</v>
      </c>
      <c r="G39" s="69">
        <v>561261828</v>
      </c>
      <c r="H39" s="69">
        <v>561760107</v>
      </c>
      <c r="I39" s="69">
        <v>562189588</v>
      </c>
      <c r="J39" s="69">
        <v>562633226</v>
      </c>
      <c r="K39" s="69">
        <v>563079364</v>
      </c>
      <c r="L39" s="69">
        <v>563534741</v>
      </c>
      <c r="M39" s="69">
        <v>563962589</v>
      </c>
      <c r="N39" s="69">
        <v>564394675</v>
      </c>
      <c r="O39" s="69">
        <v>564852309</v>
      </c>
      <c r="P39" s="69">
        <v>565269444</v>
      </c>
      <c r="Q39" s="69">
        <v>565679532</v>
      </c>
      <c r="R39" s="69">
        <v>566121925</v>
      </c>
      <c r="S39" s="69">
        <v>566593283</v>
      </c>
      <c r="T39" s="69">
        <v>567050972</v>
      </c>
      <c r="U39" s="69">
        <v>567521052</v>
      </c>
      <c r="V39" s="69">
        <v>567981083</v>
      </c>
      <c r="W39" s="69">
        <v>568429881</v>
      </c>
      <c r="X39" s="69">
        <v>568852275</v>
      </c>
      <c r="Y39" s="69">
        <v>569375415</v>
      </c>
      <c r="Z39" s="69">
        <v>569755620</v>
      </c>
      <c r="AA39" s="69">
        <v>570210616</v>
      </c>
      <c r="AB39" s="69">
        <v>570664125</v>
      </c>
      <c r="AC39" s="97">
        <v>571094519</v>
      </c>
      <c r="AD39" s="69">
        <v>571542357</v>
      </c>
      <c r="AE39" s="69">
        <v>571992970</v>
      </c>
      <c r="AF39" s="69">
        <v>572429308</v>
      </c>
    </row>
    <row r="40" spans="1:32" ht="18.75" x14ac:dyDescent="0.25">
      <c r="A40" s="14" t="s">
        <v>82</v>
      </c>
      <c r="B40" s="14"/>
      <c r="C40" s="70">
        <v>180728557</v>
      </c>
      <c r="D40" s="70">
        <v>180856483</v>
      </c>
      <c r="E40" s="70">
        <v>180963768</v>
      </c>
      <c r="F40" s="70">
        <v>181083827</v>
      </c>
      <c r="G40" s="70">
        <v>181211752</v>
      </c>
      <c r="H40" s="70">
        <v>181343693</v>
      </c>
      <c r="I40" s="70">
        <v>181457606</v>
      </c>
      <c r="J40" s="70">
        <v>181572937</v>
      </c>
      <c r="K40" s="70">
        <v>181690899</v>
      </c>
      <c r="L40" s="70">
        <v>181812513</v>
      </c>
      <c r="M40" s="70">
        <v>181926031</v>
      </c>
      <c r="N40" s="70">
        <v>182047129</v>
      </c>
      <c r="O40" s="70">
        <v>182168024</v>
      </c>
      <c r="P40" s="70">
        <v>182280669</v>
      </c>
      <c r="Q40" s="70">
        <v>182396412</v>
      </c>
      <c r="R40" s="70">
        <v>182514038</v>
      </c>
      <c r="S40" s="70">
        <v>182639847</v>
      </c>
      <c r="T40" s="70">
        <v>182762898</v>
      </c>
      <c r="U40" s="70">
        <v>182888398</v>
      </c>
      <c r="V40" s="70">
        <v>183004127</v>
      </c>
      <c r="W40" s="70">
        <v>183119891</v>
      </c>
      <c r="X40" s="70">
        <v>183230744</v>
      </c>
      <c r="Y40" s="70">
        <v>183367692</v>
      </c>
      <c r="Z40" s="70">
        <v>183467430</v>
      </c>
      <c r="AA40" s="70">
        <v>183586117</v>
      </c>
      <c r="AB40" s="70">
        <v>183703049</v>
      </c>
      <c r="AC40" s="98">
        <v>183822070</v>
      </c>
      <c r="AD40" s="70">
        <v>183940710</v>
      </c>
      <c r="AE40" s="70">
        <v>184061303</v>
      </c>
      <c r="AF40" s="70">
        <v>184177862</v>
      </c>
    </row>
    <row r="41" spans="1:32" ht="18.75" x14ac:dyDescent="0.25">
      <c r="A41" s="14"/>
      <c r="B41" s="14"/>
      <c r="C41" s="39"/>
      <c r="D41" s="27"/>
      <c r="E41" s="39"/>
      <c r="F41" s="27"/>
      <c r="G41" s="39"/>
      <c r="H41" s="27"/>
      <c r="I41" s="39"/>
      <c r="J41" s="27"/>
      <c r="K41" s="27"/>
      <c r="L41" s="27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47"/>
      <c r="AD41" s="39"/>
      <c r="AE41" s="27"/>
      <c r="AF41" s="27"/>
    </row>
    <row r="42" spans="1:32" ht="18.75" x14ac:dyDescent="0.25">
      <c r="A42" s="15" t="s">
        <v>53</v>
      </c>
      <c r="B42" s="15"/>
      <c r="C42" s="71">
        <v>73930</v>
      </c>
      <c r="D42" s="71">
        <v>91607</v>
      </c>
      <c r="E42" s="71">
        <v>80967</v>
      </c>
      <c r="F42" s="71">
        <v>93118</v>
      </c>
      <c r="G42" s="71">
        <v>92524</v>
      </c>
      <c r="H42" s="71">
        <v>100024</v>
      </c>
      <c r="I42" s="71">
        <v>80543</v>
      </c>
      <c r="J42" s="71">
        <v>87188</v>
      </c>
      <c r="K42" s="71">
        <v>86137</v>
      </c>
      <c r="L42" s="71">
        <v>78546</v>
      </c>
      <c r="M42" s="71">
        <v>79179</v>
      </c>
      <c r="N42" s="71">
        <v>83991</v>
      </c>
      <c r="O42" s="71">
        <v>79468</v>
      </c>
      <c r="P42" s="71">
        <v>73836</v>
      </c>
      <c r="Q42" s="71">
        <v>81272</v>
      </c>
      <c r="R42" s="71">
        <v>83793</v>
      </c>
      <c r="S42" s="71">
        <v>83290</v>
      </c>
      <c r="T42" s="71">
        <v>81015</v>
      </c>
      <c r="U42" s="71">
        <v>83786</v>
      </c>
      <c r="V42" s="71">
        <v>80263</v>
      </c>
      <c r="W42" s="71">
        <v>72031</v>
      </c>
      <c r="X42" s="71">
        <v>73001</v>
      </c>
      <c r="Y42" s="71">
        <v>97494</v>
      </c>
      <c r="Z42" s="71">
        <v>63272</v>
      </c>
      <c r="AA42" s="71">
        <v>85349</v>
      </c>
      <c r="AB42" s="71">
        <v>84597</v>
      </c>
      <c r="AC42" s="99">
        <v>89795</v>
      </c>
      <c r="AD42" s="71">
        <v>86566</v>
      </c>
      <c r="AE42" s="71">
        <v>88115</v>
      </c>
      <c r="AF42" s="71">
        <v>88297</v>
      </c>
    </row>
    <row r="43" spans="1:32" ht="18.75" x14ac:dyDescent="0.25">
      <c r="A43" s="16" t="s">
        <v>55</v>
      </c>
      <c r="B43" s="16"/>
      <c r="C43" s="72">
        <v>121626</v>
      </c>
      <c r="D43" s="72">
        <v>127926</v>
      </c>
      <c r="E43" s="72">
        <v>107285</v>
      </c>
      <c r="F43" s="72">
        <v>120059</v>
      </c>
      <c r="G43" s="72">
        <v>127925</v>
      </c>
      <c r="H43" s="72">
        <v>131941</v>
      </c>
      <c r="I43" s="72">
        <v>113913</v>
      </c>
      <c r="J43" s="72">
        <v>115331</v>
      </c>
      <c r="K43" s="72">
        <v>117962</v>
      </c>
      <c r="L43" s="72">
        <v>121614</v>
      </c>
      <c r="M43" s="72">
        <v>113518</v>
      </c>
      <c r="N43" s="72">
        <v>121098</v>
      </c>
      <c r="O43" s="72">
        <v>120895</v>
      </c>
      <c r="P43" s="72">
        <v>112645</v>
      </c>
      <c r="Q43" s="72">
        <v>115743</v>
      </c>
      <c r="R43" s="72">
        <v>117626</v>
      </c>
      <c r="S43" s="72">
        <v>125809</v>
      </c>
      <c r="T43" s="72">
        <v>123051</v>
      </c>
      <c r="U43" s="72">
        <v>125500</v>
      </c>
      <c r="V43" s="72">
        <v>115729</v>
      </c>
      <c r="W43" s="72">
        <v>115764</v>
      </c>
      <c r="X43" s="72">
        <v>110853</v>
      </c>
      <c r="Y43" s="72">
        <v>136948</v>
      </c>
      <c r="Z43" s="72">
        <v>99738</v>
      </c>
      <c r="AA43" s="72">
        <v>118687</v>
      </c>
      <c r="AB43" s="72">
        <v>116932</v>
      </c>
      <c r="AC43" s="100">
        <v>119021</v>
      </c>
      <c r="AD43" s="72">
        <v>118640</v>
      </c>
      <c r="AE43" s="72">
        <v>120593</v>
      </c>
      <c r="AF43" s="72">
        <v>116559</v>
      </c>
    </row>
    <row r="44" spans="1:32" ht="18.75" x14ac:dyDescent="0.25">
      <c r="A44" s="18" t="s">
        <v>57</v>
      </c>
      <c r="B44" s="18"/>
      <c r="C44" s="73">
        <v>138270.90000000002</v>
      </c>
      <c r="D44" s="73">
        <v>146287.90000000002</v>
      </c>
      <c r="E44" s="73">
        <v>123096.25</v>
      </c>
      <c r="F44" s="73">
        <v>134666.35</v>
      </c>
      <c r="G44" s="73">
        <v>131604.25</v>
      </c>
      <c r="H44" s="73">
        <v>140187.65000000002</v>
      </c>
      <c r="I44" s="73">
        <v>120169.45</v>
      </c>
      <c r="J44" s="73">
        <v>123649.15000000001</v>
      </c>
      <c r="K44" s="73">
        <v>123800.3</v>
      </c>
      <c r="L44" s="73">
        <v>134865.1</v>
      </c>
      <c r="M44" s="73">
        <v>126347.7</v>
      </c>
      <c r="N44" s="73">
        <v>130671.7</v>
      </c>
      <c r="O44" s="73">
        <v>137874.75</v>
      </c>
      <c r="P44" s="73">
        <v>129296.25</v>
      </c>
      <c r="Q44" s="73">
        <v>130895.95</v>
      </c>
      <c r="R44" s="73">
        <v>135552.90000000002</v>
      </c>
      <c r="S44" s="73">
        <v>144967.85</v>
      </c>
      <c r="T44" s="73">
        <v>139676.15000000002</v>
      </c>
      <c r="U44" s="73">
        <v>143835</v>
      </c>
      <c r="V44" s="73">
        <v>133787.85</v>
      </c>
      <c r="W44" s="73">
        <v>130841.60000000001</v>
      </c>
      <c r="X44" s="73">
        <v>130798.45</v>
      </c>
      <c r="Y44" s="73">
        <v>158833.20000000001</v>
      </c>
      <c r="Z44" s="73">
        <v>112433.70000000001</v>
      </c>
      <c r="AA44" s="73">
        <v>136261.54999999999</v>
      </c>
      <c r="AB44" s="73">
        <v>134128.79999999999</v>
      </c>
      <c r="AC44" s="101">
        <v>129511.65000000001</v>
      </c>
      <c r="AD44" s="73">
        <v>140435</v>
      </c>
      <c r="AE44" s="73">
        <v>138353.45000000001</v>
      </c>
      <c r="AF44" s="73">
        <v>133398.35</v>
      </c>
    </row>
    <row r="45" spans="1:32" ht="18.75" x14ac:dyDescent="0.25">
      <c r="A45" s="19" t="s">
        <v>59</v>
      </c>
      <c r="B45" s="19"/>
      <c r="C45" s="74">
        <v>305687.09999999998</v>
      </c>
      <c r="D45" s="74">
        <v>314154.09999999998</v>
      </c>
      <c r="E45" s="74">
        <v>269026.75</v>
      </c>
      <c r="F45" s="74">
        <v>279684.65000000002</v>
      </c>
      <c r="G45" s="74">
        <v>287072.75</v>
      </c>
      <c r="H45" s="74">
        <v>312493.34999999998</v>
      </c>
      <c r="I45" s="74">
        <v>274894.55</v>
      </c>
      <c r="J45" s="74">
        <v>281484.84999999998</v>
      </c>
      <c r="K45" s="74">
        <v>283325.7</v>
      </c>
      <c r="L45" s="74">
        <v>297781.90000000002</v>
      </c>
      <c r="M45" s="74">
        <v>274882.3</v>
      </c>
      <c r="N45" s="74">
        <v>269381.3</v>
      </c>
      <c r="O45" s="74">
        <v>299584.25</v>
      </c>
      <c r="P45" s="74">
        <v>270079.75</v>
      </c>
      <c r="Q45" s="74">
        <v>253583.05</v>
      </c>
      <c r="R45" s="74">
        <v>282143.09999999998</v>
      </c>
      <c r="S45" s="74">
        <v>306292.15000000002</v>
      </c>
      <c r="T45" s="74">
        <v>296690.84999999998</v>
      </c>
      <c r="U45" s="74">
        <v>304719</v>
      </c>
      <c r="V45" s="74">
        <v>304544.15000000002</v>
      </c>
      <c r="W45" s="74">
        <v>301520.40000000002</v>
      </c>
      <c r="X45" s="74">
        <v>277338.55</v>
      </c>
      <c r="Y45" s="74">
        <v>336629.8</v>
      </c>
      <c r="Z45" s="74">
        <v>252103.3</v>
      </c>
      <c r="AA45" s="74">
        <v>292500.45</v>
      </c>
      <c r="AB45" s="74">
        <v>292906.2</v>
      </c>
      <c r="AC45" s="102">
        <v>263235.34999999998</v>
      </c>
      <c r="AD45" s="74">
        <v>284156</v>
      </c>
      <c r="AE45" s="74">
        <v>284112.55</v>
      </c>
      <c r="AF45" s="74">
        <v>272277.65000000002</v>
      </c>
    </row>
    <row r="46" spans="1:32" ht="18.75" x14ac:dyDescent="0.25">
      <c r="A46" s="20" t="s">
        <v>61</v>
      </c>
      <c r="B46" s="20"/>
      <c r="C46" s="75">
        <v>206175</v>
      </c>
      <c r="D46" s="75">
        <v>173384</v>
      </c>
      <c r="E46" s="75">
        <v>153220</v>
      </c>
      <c r="F46" s="75">
        <v>217445</v>
      </c>
      <c r="G46" s="75">
        <v>237742</v>
      </c>
      <c r="H46" s="75">
        <v>175611</v>
      </c>
      <c r="I46" s="75">
        <v>192980</v>
      </c>
      <c r="J46" s="75">
        <v>231435</v>
      </c>
      <c r="K46" s="75">
        <v>323784</v>
      </c>
      <c r="L46" s="75">
        <v>234338</v>
      </c>
      <c r="M46" s="75">
        <v>176742</v>
      </c>
      <c r="N46" s="75">
        <v>160549</v>
      </c>
      <c r="O46" s="75">
        <v>181229</v>
      </c>
      <c r="P46" s="75">
        <v>224727</v>
      </c>
      <c r="Q46" s="75">
        <v>171048</v>
      </c>
      <c r="R46" s="75">
        <v>240575</v>
      </c>
      <c r="S46" s="75">
        <v>261595</v>
      </c>
      <c r="T46" s="75">
        <v>256378</v>
      </c>
      <c r="U46" s="75">
        <v>283635</v>
      </c>
      <c r="V46" s="75">
        <v>203082</v>
      </c>
      <c r="W46" s="75">
        <v>208023</v>
      </c>
      <c r="X46" s="75">
        <v>209790</v>
      </c>
      <c r="Y46" s="75">
        <v>300938</v>
      </c>
      <c r="Z46" s="75">
        <v>265998</v>
      </c>
      <c r="AA46" s="75">
        <v>299537</v>
      </c>
      <c r="AB46" s="75">
        <v>300902</v>
      </c>
      <c r="AC46" s="103">
        <v>274866</v>
      </c>
      <c r="AD46" s="75">
        <v>323842</v>
      </c>
      <c r="AE46" s="75">
        <v>306641</v>
      </c>
      <c r="AF46" s="75">
        <v>275089</v>
      </c>
    </row>
    <row r="47" spans="1:32" ht="18.75" x14ac:dyDescent="0.25">
      <c r="A47" s="21" t="s">
        <v>63</v>
      </c>
      <c r="B47" s="21"/>
      <c r="C47" s="76">
        <v>650133</v>
      </c>
      <c r="D47" s="76">
        <v>633826</v>
      </c>
      <c r="E47" s="76">
        <v>545343</v>
      </c>
      <c r="F47" s="76">
        <v>631796</v>
      </c>
      <c r="G47" s="76">
        <v>656419</v>
      </c>
      <c r="H47" s="76">
        <v>628292</v>
      </c>
      <c r="I47" s="76">
        <v>588044</v>
      </c>
      <c r="J47" s="76">
        <v>636569</v>
      </c>
      <c r="K47" s="76">
        <v>730910</v>
      </c>
      <c r="L47" s="76">
        <v>666985</v>
      </c>
      <c r="M47" s="76">
        <v>577972</v>
      </c>
      <c r="N47" s="76">
        <v>560602</v>
      </c>
      <c r="O47" s="76">
        <v>618688</v>
      </c>
      <c r="P47" s="76">
        <v>624103</v>
      </c>
      <c r="Q47" s="76">
        <v>555527</v>
      </c>
      <c r="R47" s="76">
        <v>658271</v>
      </c>
      <c r="S47" s="76">
        <v>712855</v>
      </c>
      <c r="T47" s="76">
        <v>692745</v>
      </c>
      <c r="U47" s="76">
        <v>732189</v>
      </c>
      <c r="V47" s="76">
        <v>641414</v>
      </c>
      <c r="W47" s="76">
        <v>640385</v>
      </c>
      <c r="X47" s="76">
        <v>617927</v>
      </c>
      <c r="Y47" s="76">
        <v>796401</v>
      </c>
      <c r="Z47" s="76">
        <v>630535</v>
      </c>
      <c r="AA47" s="76">
        <v>728299</v>
      </c>
      <c r="AB47" s="76">
        <v>727937</v>
      </c>
      <c r="AC47" s="104">
        <v>667613</v>
      </c>
      <c r="AD47" s="76">
        <v>748433</v>
      </c>
      <c r="AE47" s="76">
        <v>729107</v>
      </c>
      <c r="AF47" s="76">
        <v>680765</v>
      </c>
    </row>
    <row r="48" spans="1:32" x14ac:dyDescent="0.25">
      <c r="A48" s="22"/>
      <c r="B48" s="22"/>
      <c r="C48" s="39"/>
      <c r="D48" s="27"/>
      <c r="E48" s="27"/>
      <c r="F48" s="27"/>
      <c r="G48" s="39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39"/>
      <c r="X48" s="39"/>
      <c r="Y48" s="39"/>
      <c r="Z48" s="39"/>
      <c r="AA48" s="39"/>
      <c r="AB48" s="39"/>
      <c r="AC48" s="47"/>
      <c r="AD48" s="39"/>
      <c r="AE48" s="27"/>
      <c r="AF48" s="27"/>
    </row>
    <row r="49" spans="1:32" ht="15.75" x14ac:dyDescent="0.25">
      <c r="A49" s="7" t="s">
        <v>64</v>
      </c>
      <c r="B49" s="7"/>
      <c r="C49" s="77">
        <v>16384</v>
      </c>
      <c r="D49" s="77">
        <v>20254</v>
      </c>
      <c r="E49" s="77">
        <v>12158</v>
      </c>
      <c r="F49" s="77">
        <v>17495</v>
      </c>
      <c r="G49" s="77">
        <v>17344</v>
      </c>
      <c r="H49" s="77">
        <v>15470</v>
      </c>
      <c r="I49" s="77">
        <v>13255</v>
      </c>
      <c r="J49" s="77">
        <v>13225</v>
      </c>
      <c r="K49" s="77">
        <v>13209</v>
      </c>
      <c r="L49" s="77">
        <v>14254</v>
      </c>
      <c r="M49" s="77">
        <v>11308</v>
      </c>
      <c r="N49" s="77">
        <v>11984</v>
      </c>
      <c r="O49" s="77">
        <v>16454</v>
      </c>
      <c r="P49" s="77">
        <v>15463</v>
      </c>
      <c r="Q49" s="77">
        <v>12187</v>
      </c>
      <c r="R49" s="77">
        <v>15031</v>
      </c>
      <c r="S49" s="77">
        <v>14795</v>
      </c>
      <c r="T49" s="77">
        <v>14576</v>
      </c>
      <c r="U49" s="77">
        <v>13734</v>
      </c>
      <c r="V49" s="77">
        <v>14832</v>
      </c>
      <c r="W49" s="77">
        <v>13239</v>
      </c>
      <c r="X49" s="77">
        <v>15533</v>
      </c>
      <c r="Y49" s="77">
        <v>16523</v>
      </c>
      <c r="Z49" s="77">
        <v>10555</v>
      </c>
      <c r="AA49" s="77">
        <v>13883</v>
      </c>
      <c r="AB49" s="77">
        <v>13224</v>
      </c>
      <c r="AC49" s="105">
        <v>12231</v>
      </c>
      <c r="AD49" s="77">
        <v>12110</v>
      </c>
      <c r="AE49" s="77">
        <v>11692</v>
      </c>
      <c r="AF49" s="77">
        <v>11542</v>
      </c>
    </row>
    <row r="50" spans="1:32" ht="15.75" x14ac:dyDescent="0.25">
      <c r="A50" s="7" t="s">
        <v>65</v>
      </c>
      <c r="B50" s="7"/>
      <c r="C50" s="77">
        <v>16495</v>
      </c>
      <c r="D50" s="77">
        <v>19501</v>
      </c>
      <c r="E50" s="77">
        <v>16977</v>
      </c>
      <c r="F50" s="77">
        <v>17384</v>
      </c>
      <c r="G50" s="77">
        <v>18042</v>
      </c>
      <c r="H50" s="77">
        <v>19996</v>
      </c>
      <c r="I50" s="77">
        <v>17501</v>
      </c>
      <c r="J50" s="77">
        <v>17118</v>
      </c>
      <c r="K50" s="77">
        <v>18298</v>
      </c>
      <c r="L50" s="77">
        <v>17851</v>
      </c>
      <c r="M50" s="77">
        <v>17492</v>
      </c>
      <c r="N50" s="77">
        <v>14258</v>
      </c>
      <c r="O50" s="77">
        <v>17204</v>
      </c>
      <c r="P50" s="77">
        <v>15182</v>
      </c>
      <c r="Q50" s="77">
        <v>16279</v>
      </c>
      <c r="R50" s="77">
        <v>16294</v>
      </c>
      <c r="S50" s="77">
        <v>16777</v>
      </c>
      <c r="T50" s="77">
        <v>16800</v>
      </c>
      <c r="U50" s="77">
        <v>14461</v>
      </c>
      <c r="V50" s="77">
        <v>15621</v>
      </c>
      <c r="W50" s="77">
        <v>15864</v>
      </c>
      <c r="X50" s="77">
        <v>12642</v>
      </c>
      <c r="Y50" s="77">
        <v>18460</v>
      </c>
      <c r="Z50" s="77">
        <v>13023</v>
      </c>
      <c r="AA50" s="77">
        <v>15411</v>
      </c>
      <c r="AB50" s="77">
        <v>16924</v>
      </c>
      <c r="AC50" s="105">
        <v>16364</v>
      </c>
      <c r="AD50" s="77">
        <v>14706</v>
      </c>
      <c r="AE50" s="77">
        <v>13559</v>
      </c>
      <c r="AF50" s="77">
        <v>12267</v>
      </c>
    </row>
    <row r="51" spans="1:32" ht="15.75" x14ac:dyDescent="0.25">
      <c r="A51" s="7" t="s">
        <v>66</v>
      </c>
      <c r="B51" s="7"/>
      <c r="C51" s="77">
        <v>4053</v>
      </c>
      <c r="D51" s="77">
        <v>4341</v>
      </c>
      <c r="E51" s="77">
        <v>3617</v>
      </c>
      <c r="F51" s="77">
        <v>3897</v>
      </c>
      <c r="G51" s="77">
        <v>3746</v>
      </c>
      <c r="H51" s="77">
        <v>3988</v>
      </c>
      <c r="I51" s="77">
        <v>3464</v>
      </c>
      <c r="J51" s="77">
        <v>3462</v>
      </c>
      <c r="K51" s="77">
        <v>3394</v>
      </c>
      <c r="L51" s="77">
        <v>3346</v>
      </c>
      <c r="M51" s="77">
        <v>4491</v>
      </c>
      <c r="N51" s="77">
        <v>3963</v>
      </c>
      <c r="O51" s="77">
        <v>4198</v>
      </c>
      <c r="P51" s="77">
        <v>3925</v>
      </c>
      <c r="Q51" s="77">
        <v>3618</v>
      </c>
      <c r="R51" s="77">
        <v>4880</v>
      </c>
      <c r="S51" s="77">
        <v>3943</v>
      </c>
      <c r="T51" s="77">
        <v>3796</v>
      </c>
      <c r="U51" s="77">
        <v>5566</v>
      </c>
      <c r="V51" s="77">
        <v>5822</v>
      </c>
      <c r="W51" s="77">
        <v>5358</v>
      </c>
      <c r="X51" s="77">
        <v>5718</v>
      </c>
      <c r="Y51" s="77">
        <v>6380</v>
      </c>
      <c r="Z51" s="77">
        <v>4609</v>
      </c>
      <c r="AA51" s="77">
        <v>5305</v>
      </c>
      <c r="AB51" s="77">
        <v>5183</v>
      </c>
      <c r="AC51" s="105">
        <v>4598</v>
      </c>
      <c r="AD51" s="77">
        <v>5070</v>
      </c>
      <c r="AE51" s="77">
        <v>5312</v>
      </c>
      <c r="AF51" s="77">
        <v>4231</v>
      </c>
    </row>
    <row r="52" spans="1:32" ht="15.75" x14ac:dyDescent="0.25">
      <c r="A52" s="7" t="s">
        <v>67</v>
      </c>
      <c r="B52" s="7"/>
      <c r="C52" s="77">
        <v>57242</v>
      </c>
      <c r="D52" s="77">
        <v>61418</v>
      </c>
      <c r="E52" s="77">
        <v>52515</v>
      </c>
      <c r="F52" s="77">
        <v>56613</v>
      </c>
      <c r="G52" s="77">
        <v>55855</v>
      </c>
      <c r="H52" s="77">
        <v>62933</v>
      </c>
      <c r="I52" s="77">
        <v>56542</v>
      </c>
      <c r="J52" s="77">
        <v>58479</v>
      </c>
      <c r="K52" s="77">
        <v>57154</v>
      </c>
      <c r="L52" s="77">
        <v>58096</v>
      </c>
      <c r="M52" s="77">
        <v>58180</v>
      </c>
      <c r="N52" s="77">
        <v>58829</v>
      </c>
      <c r="O52" s="77">
        <v>60394</v>
      </c>
      <c r="P52" s="77">
        <v>51981</v>
      </c>
      <c r="Q52" s="77">
        <v>58709</v>
      </c>
      <c r="R52" s="77">
        <v>59567</v>
      </c>
      <c r="S52" s="77">
        <v>60996</v>
      </c>
      <c r="T52" s="77">
        <v>60255</v>
      </c>
      <c r="U52" s="77">
        <v>61199</v>
      </c>
      <c r="V52" s="77">
        <v>62738</v>
      </c>
      <c r="W52" s="77">
        <v>58976</v>
      </c>
      <c r="X52" s="77">
        <v>61886</v>
      </c>
      <c r="Y52" s="77">
        <v>71461</v>
      </c>
      <c r="Z52" s="77">
        <v>48767</v>
      </c>
      <c r="AA52" s="77">
        <v>57869</v>
      </c>
      <c r="AB52" s="77">
        <v>58219</v>
      </c>
      <c r="AC52" s="105">
        <v>58214</v>
      </c>
      <c r="AD52" s="77">
        <v>57843</v>
      </c>
      <c r="AE52" s="77">
        <v>58050</v>
      </c>
      <c r="AF52" s="77">
        <v>55932</v>
      </c>
    </row>
    <row r="53" spans="1:32" ht="15.75" x14ac:dyDescent="0.25">
      <c r="A53" s="7" t="s">
        <v>68</v>
      </c>
      <c r="B53" s="7"/>
      <c r="C53" s="77">
        <v>4355</v>
      </c>
      <c r="D53" s="77">
        <v>4692</v>
      </c>
      <c r="E53" s="77">
        <v>3814</v>
      </c>
      <c r="F53" s="77">
        <v>4368</v>
      </c>
      <c r="G53" s="77">
        <v>4440</v>
      </c>
      <c r="H53" s="77">
        <v>4930</v>
      </c>
      <c r="I53" s="77">
        <v>4313</v>
      </c>
      <c r="J53" s="77">
        <v>4458</v>
      </c>
      <c r="K53" s="77">
        <v>4307</v>
      </c>
      <c r="L53" s="77">
        <v>4356</v>
      </c>
      <c r="M53" s="77">
        <v>4438</v>
      </c>
      <c r="N53" s="77">
        <v>4525</v>
      </c>
      <c r="O53" s="77">
        <v>4533</v>
      </c>
      <c r="P53" s="77">
        <v>3831</v>
      </c>
      <c r="Q53" s="77">
        <v>4317</v>
      </c>
      <c r="R53" s="77">
        <v>4425</v>
      </c>
      <c r="S53" s="77">
        <v>4549</v>
      </c>
      <c r="T53" s="77">
        <v>4399</v>
      </c>
      <c r="U53" s="77">
        <v>4528</v>
      </c>
      <c r="V53" s="77">
        <v>4680</v>
      </c>
      <c r="W53" s="77">
        <v>4418</v>
      </c>
      <c r="X53" s="77">
        <v>4434</v>
      </c>
      <c r="Y53" s="77">
        <v>5278</v>
      </c>
      <c r="Z53" s="77">
        <v>3629</v>
      </c>
      <c r="AA53" s="77">
        <v>4312</v>
      </c>
      <c r="AB53" s="77">
        <v>4290</v>
      </c>
      <c r="AC53" s="105">
        <v>4336</v>
      </c>
      <c r="AD53" s="77">
        <v>4395</v>
      </c>
      <c r="AE53" s="77">
        <v>4393</v>
      </c>
      <c r="AF53" s="77">
        <v>4345</v>
      </c>
    </row>
    <row r="54" spans="1:32" ht="18.75" x14ac:dyDescent="0.25">
      <c r="A54" s="23" t="s">
        <v>70</v>
      </c>
      <c r="B54" s="23"/>
      <c r="C54" s="78">
        <v>98529</v>
      </c>
      <c r="D54" s="78">
        <v>110206</v>
      </c>
      <c r="E54" s="78">
        <v>89081</v>
      </c>
      <c r="F54" s="78">
        <v>99757</v>
      </c>
      <c r="G54" s="78">
        <v>99427</v>
      </c>
      <c r="H54" s="78">
        <v>107317</v>
      </c>
      <c r="I54" s="78">
        <v>95075</v>
      </c>
      <c r="J54" s="78">
        <v>96742</v>
      </c>
      <c r="K54" s="78">
        <v>96362</v>
      </c>
      <c r="L54" s="78">
        <v>97903</v>
      </c>
      <c r="M54" s="78">
        <v>95909</v>
      </c>
      <c r="N54" s="78">
        <v>93559</v>
      </c>
      <c r="O54" s="78">
        <v>102783</v>
      </c>
      <c r="P54" s="78">
        <v>90382</v>
      </c>
      <c r="Q54" s="78">
        <v>95110</v>
      </c>
      <c r="R54" s="78">
        <v>100197</v>
      </c>
      <c r="S54" s="78">
        <v>101060</v>
      </c>
      <c r="T54" s="78">
        <v>99826</v>
      </c>
      <c r="U54" s="78">
        <v>99488</v>
      </c>
      <c r="V54" s="78">
        <v>103693</v>
      </c>
      <c r="W54" s="78">
        <v>97855</v>
      </c>
      <c r="X54" s="78">
        <v>100213</v>
      </c>
      <c r="Y54" s="78">
        <v>118102</v>
      </c>
      <c r="Z54" s="78">
        <v>80583</v>
      </c>
      <c r="AA54" s="78">
        <v>96780</v>
      </c>
      <c r="AB54" s="78">
        <v>97840</v>
      </c>
      <c r="AC54" s="106">
        <v>95743</v>
      </c>
      <c r="AD54" s="78">
        <v>94124</v>
      </c>
      <c r="AE54" s="78">
        <v>93006</v>
      </c>
      <c r="AF54" s="113">
        <v>88317</v>
      </c>
    </row>
    <row r="55" spans="1:32" ht="18.75" x14ac:dyDescent="0.25">
      <c r="A55" s="17" t="s">
        <v>71</v>
      </c>
      <c r="B55" s="17"/>
      <c r="C55" s="41">
        <v>43</v>
      </c>
      <c r="D55" s="41">
        <v>45</v>
      </c>
      <c r="E55" s="41">
        <v>44</v>
      </c>
      <c r="F55" s="41">
        <v>44</v>
      </c>
      <c r="G55" s="41">
        <v>46</v>
      </c>
      <c r="H55" s="41">
        <v>42</v>
      </c>
      <c r="I55" s="41">
        <v>44</v>
      </c>
      <c r="J55" s="41">
        <v>40</v>
      </c>
      <c r="K55" s="41">
        <v>43</v>
      </c>
      <c r="L55" s="41">
        <v>43</v>
      </c>
      <c r="M55" s="41">
        <v>30</v>
      </c>
      <c r="N55" s="41">
        <v>27</v>
      </c>
      <c r="O55" s="41">
        <v>42</v>
      </c>
      <c r="P55" s="41">
        <v>46</v>
      </c>
      <c r="Q55" s="41">
        <v>33</v>
      </c>
      <c r="R55" s="41">
        <v>44</v>
      </c>
      <c r="S55" s="41">
        <v>45</v>
      </c>
      <c r="T55" s="41">
        <v>46</v>
      </c>
      <c r="U55" s="41">
        <v>41</v>
      </c>
      <c r="V55" s="41">
        <v>43</v>
      </c>
      <c r="W55" s="41">
        <v>43</v>
      </c>
      <c r="X55" s="41">
        <v>36</v>
      </c>
      <c r="Y55" s="41">
        <v>43</v>
      </c>
      <c r="Z55" s="41">
        <v>44</v>
      </c>
      <c r="AA55" s="41">
        <v>47</v>
      </c>
      <c r="AB55" s="41">
        <v>46</v>
      </c>
      <c r="AC55" s="112">
        <v>34</v>
      </c>
      <c r="AD55" s="110">
        <v>42</v>
      </c>
      <c r="AE55" s="41">
        <v>46</v>
      </c>
      <c r="AF55" s="41">
        <v>45</v>
      </c>
    </row>
    <row r="56" spans="1:32" ht="18.75" x14ac:dyDescent="0.25">
      <c r="A56" s="17" t="s">
        <v>72</v>
      </c>
      <c r="B56" s="17"/>
      <c r="C56" s="41">
        <v>44</v>
      </c>
      <c r="D56" s="41">
        <v>44</v>
      </c>
      <c r="E56" s="41">
        <v>44</v>
      </c>
      <c r="F56" s="41">
        <v>43</v>
      </c>
      <c r="G56" s="41">
        <v>48</v>
      </c>
      <c r="H56" s="41">
        <v>41</v>
      </c>
      <c r="I56" s="41">
        <v>44</v>
      </c>
      <c r="J56" s="41">
        <v>43</v>
      </c>
      <c r="K56" s="41">
        <v>40</v>
      </c>
      <c r="L56" s="41">
        <v>44</v>
      </c>
      <c r="M56" s="41">
        <v>31</v>
      </c>
      <c r="N56" s="41">
        <v>27</v>
      </c>
      <c r="O56" s="41">
        <v>44</v>
      </c>
      <c r="P56" s="41">
        <v>43</v>
      </c>
      <c r="Q56" s="41">
        <v>35</v>
      </c>
      <c r="R56" s="41">
        <v>42</v>
      </c>
      <c r="S56" s="41">
        <v>45</v>
      </c>
      <c r="T56" s="41">
        <v>45</v>
      </c>
      <c r="U56" s="41">
        <v>43</v>
      </c>
      <c r="V56" s="41">
        <v>42</v>
      </c>
      <c r="W56" s="41">
        <v>43</v>
      </c>
      <c r="X56" s="41">
        <v>39</v>
      </c>
      <c r="Y56" s="41">
        <v>41</v>
      </c>
      <c r="Z56" s="41">
        <v>43</v>
      </c>
      <c r="AA56" s="41">
        <v>46</v>
      </c>
      <c r="AB56" s="41">
        <v>47</v>
      </c>
      <c r="AC56" s="47">
        <v>36</v>
      </c>
      <c r="AD56" s="39">
        <v>39</v>
      </c>
      <c r="AE56" s="41">
        <v>46</v>
      </c>
      <c r="AF56" s="41">
        <v>46</v>
      </c>
    </row>
    <row r="57" spans="1:32" x14ac:dyDescent="0.25">
      <c r="A57" s="24"/>
      <c r="B57" s="25"/>
      <c r="C57" s="39"/>
      <c r="D57" s="27"/>
      <c r="E57" s="27"/>
      <c r="F57" s="27"/>
      <c r="G57" s="39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39"/>
      <c r="X57" s="27"/>
      <c r="Y57" s="27"/>
      <c r="Z57" s="27"/>
      <c r="AA57" s="27"/>
      <c r="AB57" s="27"/>
      <c r="AC57" s="46"/>
      <c r="AD57" s="27"/>
      <c r="AE57" s="27"/>
      <c r="AF57" s="27"/>
    </row>
    <row r="58" spans="1:32" x14ac:dyDescent="0.25">
      <c r="A58" s="22" t="s">
        <v>73</v>
      </c>
      <c r="B58" s="22"/>
      <c r="C58" s="79">
        <v>9.0562549122347402</v>
      </c>
      <c r="D58" s="79">
        <v>9.5813400576368899</v>
      </c>
      <c r="E58" s="79">
        <v>8.0623690070736185</v>
      </c>
      <c r="F58" s="79">
        <v>9.025289859928959</v>
      </c>
      <c r="G58" s="79">
        <v>7.9013118395773292</v>
      </c>
      <c r="H58" s="79">
        <v>9.8536339354748037</v>
      </c>
      <c r="I58" s="79">
        <v>7.8706739586062353</v>
      </c>
      <c r="J58" s="79">
        <v>8.286921117887541</v>
      </c>
      <c r="K58" s="79">
        <v>8.9193299711815559</v>
      </c>
      <c r="L58" s="79">
        <v>8.8331870578988738</v>
      </c>
      <c r="M58" s="79">
        <v>11.745626103932322</v>
      </c>
      <c r="N58" s="79">
        <v>13.947240900843205</v>
      </c>
      <c r="O58" s="79">
        <v>9.03030848834163</v>
      </c>
      <c r="P58" s="79">
        <v>8.6653877085986188</v>
      </c>
      <c r="Q58" s="79">
        <v>10.777764512144916</v>
      </c>
      <c r="R58" s="79">
        <v>9.3010086455331429</v>
      </c>
      <c r="S58" s="79">
        <v>9.2838840858149219</v>
      </c>
      <c r="T58" s="79">
        <v>8.9449983989753452</v>
      </c>
      <c r="U58" s="79">
        <v>9.639769452449567</v>
      </c>
      <c r="V58" s="79">
        <v>9.1798991354466857</v>
      </c>
      <c r="W58" s="79">
        <v>8.7689565042557476</v>
      </c>
      <c r="X58" s="79">
        <v>9.66514815635853</v>
      </c>
      <c r="Y58" s="79">
        <v>11.164208898573136</v>
      </c>
      <c r="Z58" s="79">
        <v>7.5352657328597283</v>
      </c>
      <c r="AA58" s="79">
        <v>8.5366213507079305</v>
      </c>
      <c r="AB58" s="79">
        <v>8.2242197559629648</v>
      </c>
      <c r="AC58" s="107">
        <v>10.367567243035543</v>
      </c>
      <c r="AD58" s="79">
        <v>10.377226040050248</v>
      </c>
      <c r="AE58" s="79">
        <v>8.6676763563463233</v>
      </c>
      <c r="AF58" s="79">
        <v>8.3572453326650802</v>
      </c>
    </row>
    <row r="59" spans="1:32" x14ac:dyDescent="0.25">
      <c r="A59" s="22" t="s">
        <v>74</v>
      </c>
      <c r="B59" s="22"/>
      <c r="C59" s="79">
        <v>20.487038402251859</v>
      </c>
      <c r="D59" s="79">
        <v>20.118738392571245</v>
      </c>
      <c r="E59" s="79">
        <v>17.620300628766046</v>
      </c>
      <c r="F59" s="79">
        <v>18.318355383809276</v>
      </c>
      <c r="G59" s="79">
        <v>17.984760681618845</v>
      </c>
      <c r="H59" s="79">
        <v>21.441838205022641</v>
      </c>
      <c r="I59" s="79">
        <v>18.004620775478124</v>
      </c>
      <c r="J59" s="79">
        <v>20.279888328530259</v>
      </c>
      <c r="K59" s="79">
        <v>18.988385496950606</v>
      </c>
      <c r="L59" s="79">
        <v>19.957234769787551</v>
      </c>
      <c r="M59" s="79">
        <v>26.405600384245915</v>
      </c>
      <c r="N59" s="79">
        <v>28.752406873732522</v>
      </c>
      <c r="O59" s="79">
        <v>20.556075888568685</v>
      </c>
      <c r="P59" s="79">
        <v>16.920169778223279</v>
      </c>
      <c r="Q59" s="79">
        <v>22.145057200244519</v>
      </c>
      <c r="R59" s="79">
        <v>18.479375163741157</v>
      </c>
      <c r="S59" s="79">
        <v>19.61525136087096</v>
      </c>
      <c r="T59" s="79">
        <v>18.587323017165769</v>
      </c>
      <c r="U59" s="79">
        <v>21.418359457369789</v>
      </c>
      <c r="V59" s="79">
        <v>20.410438308424371</v>
      </c>
      <c r="W59" s="79">
        <v>20.207787681790766</v>
      </c>
      <c r="X59" s="79">
        <v>22.201292827409542</v>
      </c>
      <c r="Y59" s="79">
        <v>22.560806916426511</v>
      </c>
      <c r="Z59" s="79">
        <v>16.511874508776526</v>
      </c>
      <c r="AA59" s="79">
        <v>17.934910172297506</v>
      </c>
      <c r="AB59" s="79">
        <v>18.350219270768076</v>
      </c>
      <c r="AC59" s="107">
        <v>22.311862180030513</v>
      </c>
      <c r="AD59" s="79">
        <v>19.497461232331549</v>
      </c>
      <c r="AE59" s="79">
        <v>17.799307730860793</v>
      </c>
      <c r="AF59" s="79">
        <v>17.436929234710217</v>
      </c>
    </row>
    <row r="60" spans="1:32" x14ac:dyDescent="0.25">
      <c r="A60" s="22" t="s">
        <v>75</v>
      </c>
      <c r="B60" s="22"/>
      <c r="C60" s="79">
        <v>13.817773607667046</v>
      </c>
      <c r="D60" s="79">
        <v>11.103682356708294</v>
      </c>
      <c r="E60" s="79">
        <v>10.035368090123134</v>
      </c>
      <c r="F60" s="79">
        <v>14.241878438564317</v>
      </c>
      <c r="G60" s="79">
        <v>14.894248840997369</v>
      </c>
      <c r="H60" s="79">
        <v>12.049608892548374</v>
      </c>
      <c r="I60" s="79">
        <v>12.639507466596804</v>
      </c>
      <c r="J60" s="79">
        <v>16.67399135446686</v>
      </c>
      <c r="K60" s="79">
        <v>21.69988606661752</v>
      </c>
      <c r="L60" s="79">
        <v>15.705247637557804</v>
      </c>
      <c r="M60" s="79">
        <v>16.978097982708935</v>
      </c>
      <c r="N60" s="79">
        <v>17.136193830718327</v>
      </c>
      <c r="O60" s="79">
        <v>12.435089886098531</v>
      </c>
      <c r="P60" s="79">
        <v>14.078874827715826</v>
      </c>
      <c r="Q60" s="79">
        <v>14.937385381189415</v>
      </c>
      <c r="R60" s="79">
        <v>15.756811632171862</v>
      </c>
      <c r="S60" s="79">
        <v>16.752801793147615</v>
      </c>
      <c r="T60" s="79">
        <v>16.061771707806038</v>
      </c>
      <c r="U60" s="79">
        <v>19.936388556969142</v>
      </c>
      <c r="V60" s="79">
        <v>13.610481871188258</v>
      </c>
      <c r="W60" s="79">
        <v>13.941625896387642</v>
      </c>
      <c r="X60" s="79">
        <v>16.793948126801151</v>
      </c>
      <c r="Y60" s="79">
        <v>20.168755445345486</v>
      </c>
      <c r="Z60" s="79">
        <v>17.421928215876342</v>
      </c>
      <c r="AA60" s="79">
        <v>18.366362131338526</v>
      </c>
      <c r="AB60" s="79">
        <v>18.851146472873072</v>
      </c>
      <c r="AC60" s="107">
        <v>23.297677572469912</v>
      </c>
      <c r="AD60" s="79">
        <v>22.220529710443255</v>
      </c>
      <c r="AE60" s="79">
        <v>19.210687883723843</v>
      </c>
      <c r="AF60" s="79">
        <v>17.616970861351266</v>
      </c>
    </row>
    <row r="61" spans="1:32" x14ac:dyDescent="0.25">
      <c r="A61" s="22" t="s">
        <v>76</v>
      </c>
      <c r="B61" s="22"/>
      <c r="C61" s="79">
        <v>43.36106692215364</v>
      </c>
      <c r="D61" s="79">
        <v>40.803760806916429</v>
      </c>
      <c r="E61" s="79">
        <v>35.718037725962802</v>
      </c>
      <c r="F61" s="79">
        <v>41.585523682302551</v>
      </c>
      <c r="G61" s="79">
        <v>40.78032136219354</v>
      </c>
      <c r="H61" s="79">
        <v>43.345081033045815</v>
      </c>
      <c r="I61" s="79">
        <v>38.51480220068116</v>
      </c>
      <c r="J61" s="79">
        <v>45.240800800884656</v>
      </c>
      <c r="K61" s="79">
        <v>49.607601534749676</v>
      </c>
      <c r="L61" s="79">
        <v>44.495669465244227</v>
      </c>
      <c r="M61" s="79">
        <v>55.12932447088717</v>
      </c>
      <c r="N61" s="79">
        <v>59.83584160529405</v>
      </c>
      <c r="O61" s="79">
        <v>42.021474263008848</v>
      </c>
      <c r="P61" s="79">
        <v>39.66443231453772</v>
      </c>
      <c r="Q61" s="79">
        <v>47.86020709357885</v>
      </c>
      <c r="R61" s="79">
        <v>43.537195441446158</v>
      </c>
      <c r="S61" s="79">
        <v>45.651937239833501</v>
      </c>
      <c r="T61" s="79">
        <v>43.594093123947154</v>
      </c>
      <c r="U61" s="79">
        <v>50.994517466788494</v>
      </c>
      <c r="V61" s="79">
        <v>43.200819315059313</v>
      </c>
      <c r="W61" s="79">
        <v>42.918370082434151</v>
      </c>
      <c r="X61" s="79">
        <v>48.660389110569227</v>
      </c>
      <c r="Y61" s="79">
        <v>53.893771260345133</v>
      </c>
      <c r="Z61" s="79">
        <v>41.469068457512591</v>
      </c>
      <c r="AA61" s="79">
        <v>44.837893654343965</v>
      </c>
      <c r="AB61" s="79">
        <v>45.425585499604111</v>
      </c>
      <c r="AC61" s="107">
        <v>55.977106995535962</v>
      </c>
      <c r="AD61" s="79">
        <v>52.09521698282505</v>
      </c>
      <c r="AE61" s="79">
        <v>45.677671970930959</v>
      </c>
      <c r="AF61" s="79">
        <v>43.411145428726563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JAN26</vt:lpstr>
      <vt:lpstr>Feb'26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 Ranjan Behera</dc:creator>
  <cp:lastModifiedBy>Asheesh Yadav</cp:lastModifiedBy>
  <cp:lastPrinted>2026-02-19T21:40:55Z</cp:lastPrinted>
  <dcterms:created xsi:type="dcterms:W3CDTF">2026-01-01T22:48:53Z</dcterms:created>
  <dcterms:modified xsi:type="dcterms:W3CDTF">2026-03-30T17:14:45Z</dcterms:modified>
</cp:coreProperties>
</file>