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Energy Sheet\"/>
    </mc:Choice>
  </mc:AlternateContent>
  <bookViews>
    <workbookView xWindow="0" yWindow="0" windowWidth="4080" windowHeight="660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3" i="4" l="1"/>
  <c r="G54" i="4" s="1"/>
  <c r="G52" i="4"/>
  <c r="G51" i="4"/>
  <c r="G50" i="4"/>
  <c r="G49" i="4"/>
  <c r="G46" i="4"/>
  <c r="G60" i="4" s="1"/>
  <c r="G42" i="4"/>
  <c r="G40" i="4"/>
  <c r="G43" i="4" s="1"/>
  <c r="G44" i="4" s="1"/>
  <c r="G39" i="4"/>
  <c r="G38" i="4"/>
  <c r="G37" i="4"/>
  <c r="G36" i="4"/>
  <c r="G9" i="4"/>
  <c r="G58" i="4" l="1"/>
  <c r="G61" i="4" s="1"/>
  <c r="G47" i="4"/>
  <c r="G45" i="4"/>
  <c r="G59" i="4" s="1"/>
  <c r="F58" i="4"/>
  <c r="F61" i="4" s="1"/>
  <c r="F59" i="4"/>
  <c r="F49" i="4"/>
  <c r="F54" i="4" s="1"/>
  <c r="F50" i="4"/>
  <c r="F51" i="4"/>
  <c r="F52" i="4"/>
  <c r="F53" i="4"/>
  <c r="F36" i="4"/>
  <c r="F37" i="4"/>
  <c r="F38" i="4"/>
  <c r="F39" i="4"/>
  <c r="F40" i="4"/>
  <c r="F9" i="4"/>
  <c r="E9" i="4" l="1"/>
  <c r="E49" i="4"/>
  <c r="E54" i="4" s="1"/>
  <c r="E50" i="4"/>
  <c r="E51" i="4"/>
  <c r="E52" i="4"/>
  <c r="E53" i="4"/>
  <c r="E36" i="4"/>
  <c r="F46" i="4" s="1"/>
  <c r="F60" i="4" s="1"/>
  <c r="E37" i="4"/>
  <c r="E38" i="4"/>
  <c r="E40" i="4"/>
  <c r="F43" i="4" s="1"/>
  <c r="F44" i="4" l="1"/>
  <c r="E39" i="4"/>
  <c r="F42" i="4"/>
  <c r="D53" i="4"/>
  <c r="D52" i="4"/>
  <c r="D51" i="4"/>
  <c r="D50" i="4"/>
  <c r="D49" i="4"/>
  <c r="D40" i="4"/>
  <c r="E43" i="4" s="1"/>
  <c r="E44" i="4" s="1"/>
  <c r="D38" i="4"/>
  <c r="D37" i="4"/>
  <c r="D42" i="4" s="1"/>
  <c r="D36" i="4"/>
  <c r="D46" i="4" s="1"/>
  <c r="D60" i="4" s="1"/>
  <c r="D9" i="4"/>
  <c r="D39" i="4" s="1"/>
  <c r="E58" i="4" l="1"/>
  <c r="E45" i="4"/>
  <c r="E59" i="4" s="1"/>
  <c r="E61" i="4" s="1"/>
  <c r="D43" i="4"/>
  <c r="D44" i="4" s="1"/>
  <c r="D58" i="4" s="1"/>
  <c r="D54" i="4"/>
  <c r="E46" i="4"/>
  <c r="E60" i="4" s="1"/>
  <c r="F45" i="4"/>
  <c r="F47" i="4" s="1"/>
  <c r="E42" i="4"/>
  <c r="D45" i="4"/>
  <c r="D59" i="4" s="1"/>
  <c r="E47" i="4" l="1"/>
  <c r="D61" i="4"/>
  <c r="D47" i="4"/>
  <c r="AG36" i="3" l="1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<sst xmlns="http://schemas.openxmlformats.org/spreadsheetml/2006/main" count="227" uniqueCount="83">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</sst>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1"/>
  <sheetViews>
    <sheetView tabSelected="1" topLeftCell="A34" workbookViewId="0">
      <pane xSplit="2" topLeftCell="C1" activePane="topRight" state="frozen"/>
      <selection pane="topRight" activeCell="J63" sqref="J63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9.28515625" style="42" customWidth="1"/>
    <col min="4" max="4" width="19.85546875" customWidth="1"/>
    <col min="5" max="5" width="16.28515625" customWidth="1"/>
    <col min="6" max="6" width="14.42578125" customWidth="1"/>
    <col min="7" max="7" width="16.42578125" customWidth="1"/>
  </cols>
  <sheetData>
    <row r="1" spans="1:40" ht="23.25" x14ac:dyDescent="0.25">
      <c r="A1" s="2"/>
      <c r="B1" s="3">
        <v>46082</v>
      </c>
    </row>
    <row r="2" spans="1:40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/>
      <c r="I2" s="67"/>
      <c r="J2" s="26"/>
      <c r="K2" s="67"/>
      <c r="L2" s="26"/>
      <c r="M2" s="67"/>
      <c r="N2" s="26"/>
      <c r="O2" s="67"/>
      <c r="P2" s="26"/>
      <c r="Q2" s="67"/>
      <c r="R2" s="26"/>
      <c r="S2" s="67"/>
      <c r="T2" s="26"/>
      <c r="U2" s="67"/>
      <c r="V2" s="26"/>
      <c r="W2" s="67"/>
      <c r="X2" s="26"/>
      <c r="Y2" s="67"/>
      <c r="Z2" s="26"/>
      <c r="AA2" s="67"/>
      <c r="AB2" s="26"/>
      <c r="AC2" s="67"/>
      <c r="AD2" s="26"/>
      <c r="AE2" s="67"/>
      <c r="AF2" s="26"/>
      <c r="AG2" s="67"/>
      <c r="AH2" s="26"/>
      <c r="AI2" s="67"/>
      <c r="AJ2" s="26"/>
      <c r="AK2" s="67"/>
      <c r="AL2" s="26"/>
      <c r="AM2" s="67"/>
      <c r="AN2" s="26"/>
    </row>
    <row r="3" spans="1:40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27"/>
      <c r="S3" s="80"/>
      <c r="T3" s="27"/>
      <c r="U3" s="80"/>
      <c r="V3" s="27"/>
      <c r="W3" s="80"/>
      <c r="X3" s="27"/>
      <c r="Y3" s="80"/>
      <c r="Z3" s="27"/>
      <c r="AA3" s="80"/>
      <c r="AB3" s="27"/>
      <c r="AC3" s="80"/>
      <c r="AD3" s="27"/>
      <c r="AE3" s="80"/>
      <c r="AF3" s="27"/>
      <c r="AG3" s="80"/>
      <c r="AH3" s="27"/>
      <c r="AI3" s="80"/>
      <c r="AJ3" s="27"/>
      <c r="AK3" s="80"/>
      <c r="AL3" s="27"/>
      <c r="AM3" s="80"/>
      <c r="AN3" s="27"/>
    </row>
    <row r="4" spans="1:40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/>
      <c r="I4" s="81"/>
      <c r="J4" s="82"/>
      <c r="K4" s="81"/>
      <c r="L4" s="82"/>
      <c r="M4" s="81"/>
      <c r="N4" s="82"/>
      <c r="O4" s="81"/>
      <c r="P4" s="82"/>
      <c r="Q4" s="81"/>
      <c r="R4" s="82"/>
      <c r="S4" s="81"/>
      <c r="T4" s="82"/>
      <c r="U4" s="81"/>
      <c r="V4" s="82"/>
      <c r="W4" s="81"/>
      <c r="X4" s="82"/>
      <c r="Y4" s="81"/>
      <c r="Z4" s="82"/>
      <c r="AA4" s="81"/>
      <c r="AB4" s="82"/>
      <c r="AC4" s="81"/>
      <c r="AD4" s="82"/>
      <c r="AE4" s="81"/>
      <c r="AF4" s="82"/>
      <c r="AG4" s="81"/>
      <c r="AH4" s="82"/>
      <c r="AI4" s="81"/>
      <c r="AJ4" s="82"/>
      <c r="AK4" s="81"/>
      <c r="AL4" s="82"/>
      <c r="AM4" s="81"/>
      <c r="AN4" s="82"/>
    </row>
    <row r="5" spans="1:40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/>
      <c r="I5" s="81"/>
      <c r="J5" s="82"/>
      <c r="K5" s="81"/>
      <c r="L5" s="82"/>
      <c r="M5" s="81"/>
      <c r="N5" s="82"/>
      <c r="O5" s="81"/>
      <c r="P5" s="82"/>
      <c r="Q5" s="81"/>
      <c r="R5" s="82"/>
      <c r="S5" s="81"/>
      <c r="T5" s="82"/>
      <c r="U5" s="81"/>
      <c r="V5" s="82"/>
      <c r="W5" s="81"/>
      <c r="X5" s="82"/>
      <c r="Y5" s="81"/>
      <c r="Z5" s="82"/>
      <c r="AA5" s="81"/>
      <c r="AB5" s="82"/>
      <c r="AC5" s="81"/>
      <c r="AD5" s="82"/>
      <c r="AE5" s="81"/>
      <c r="AF5" s="82"/>
      <c r="AG5" s="81"/>
      <c r="AH5" s="82"/>
      <c r="AI5" s="81"/>
      <c r="AJ5" s="82"/>
      <c r="AK5" s="81"/>
      <c r="AL5" s="82"/>
      <c r="AM5" s="81"/>
      <c r="AN5" s="82"/>
    </row>
    <row r="6" spans="1:40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/>
      <c r="I6" s="81"/>
      <c r="J6" s="82"/>
      <c r="K6" s="81"/>
      <c r="L6" s="82"/>
      <c r="M6" s="81"/>
      <c r="N6" s="82"/>
      <c r="O6" s="81"/>
      <c r="P6" s="82"/>
      <c r="Q6" s="81"/>
      <c r="R6" s="82"/>
      <c r="S6" s="81"/>
      <c r="T6" s="82"/>
      <c r="U6" s="81"/>
      <c r="V6" s="82"/>
      <c r="W6" s="81"/>
      <c r="X6" s="82"/>
      <c r="Y6" s="81"/>
      <c r="Z6" s="82"/>
      <c r="AA6" s="81"/>
      <c r="AB6" s="82"/>
      <c r="AC6" s="81"/>
      <c r="AD6" s="82"/>
      <c r="AE6" s="81"/>
      <c r="AF6" s="82"/>
      <c r="AG6" s="81"/>
      <c r="AH6" s="82"/>
      <c r="AI6" s="81"/>
      <c r="AJ6" s="82"/>
      <c r="AK6" s="81"/>
      <c r="AL6" s="82"/>
      <c r="AM6" s="81"/>
      <c r="AN6" s="82"/>
    </row>
    <row r="7" spans="1:40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/>
      <c r="I7" s="81"/>
      <c r="J7" s="82"/>
      <c r="K7" s="81"/>
      <c r="L7" s="82"/>
      <c r="M7" s="81"/>
      <c r="N7" s="82"/>
      <c r="O7" s="81"/>
      <c r="P7" s="82"/>
      <c r="Q7" s="81"/>
      <c r="R7" s="82"/>
      <c r="S7" s="81"/>
      <c r="T7" s="82"/>
      <c r="U7" s="81"/>
      <c r="V7" s="82"/>
      <c r="W7" s="81"/>
      <c r="X7" s="82"/>
      <c r="Y7" s="81"/>
      <c r="Z7" s="82"/>
      <c r="AA7" s="81"/>
      <c r="AB7" s="82"/>
      <c r="AC7" s="81"/>
      <c r="AD7" s="82"/>
      <c r="AE7" s="81"/>
      <c r="AF7" s="82"/>
      <c r="AG7" s="81"/>
      <c r="AH7" s="82"/>
      <c r="AI7" s="81"/>
      <c r="AJ7" s="82"/>
      <c r="AK7" s="81"/>
      <c r="AL7" s="82"/>
      <c r="AM7" s="81"/>
      <c r="AN7" s="82"/>
    </row>
    <row r="8" spans="1:40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/>
      <c r="I8" s="81"/>
      <c r="J8" s="82"/>
      <c r="K8" s="81"/>
      <c r="L8" s="82"/>
      <c r="M8" s="81"/>
      <c r="N8" s="82"/>
      <c r="O8" s="81"/>
      <c r="P8" s="82"/>
      <c r="Q8" s="81"/>
      <c r="R8" s="82"/>
      <c r="S8" s="81"/>
      <c r="T8" s="82"/>
      <c r="U8" s="81"/>
      <c r="V8" s="82"/>
      <c r="W8" s="81"/>
      <c r="X8" s="82"/>
      <c r="Y8" s="81"/>
      <c r="Z8" s="82"/>
      <c r="AA8" s="81"/>
      <c r="AB8" s="82"/>
      <c r="AC8" s="81"/>
      <c r="AD8" s="82"/>
      <c r="AE8" s="81"/>
      <c r="AF8" s="82"/>
      <c r="AG8" s="81"/>
      <c r="AH8" s="82"/>
      <c r="AI8" s="81"/>
      <c r="AJ8" s="82"/>
      <c r="AK8" s="81"/>
      <c r="AL8" s="82"/>
      <c r="AM8" s="81"/>
      <c r="AN8" s="82"/>
    </row>
    <row r="9" spans="1:40" ht="15.75" x14ac:dyDescent="0.25">
      <c r="A9" s="9" t="s">
        <v>11</v>
      </c>
      <c r="B9" s="9"/>
      <c r="C9" s="68">
        <v>717619330</v>
      </c>
      <c r="D9" s="68">
        <f t="shared" ref="D9:G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si="0"/>
        <v>720021355</v>
      </c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</row>
    <row r="10" spans="1:40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27"/>
      <c r="S10" s="39"/>
      <c r="T10" s="27"/>
      <c r="U10" s="39"/>
      <c r="V10" s="27"/>
      <c r="W10" s="39"/>
      <c r="X10" s="27"/>
      <c r="Y10" s="39"/>
      <c r="Z10" s="27"/>
      <c r="AA10" s="39"/>
      <c r="AB10" s="27"/>
      <c r="AC10" s="39"/>
      <c r="AD10" s="27"/>
      <c r="AE10" s="39"/>
      <c r="AF10" s="27"/>
      <c r="AG10" s="39"/>
      <c r="AH10" s="27"/>
      <c r="AI10" s="39"/>
      <c r="AJ10" s="27"/>
      <c r="AK10" s="39"/>
      <c r="AL10" s="27"/>
      <c r="AM10" s="39"/>
      <c r="AN10" s="27"/>
    </row>
    <row r="11" spans="1:40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/>
      <c r="I11" s="41"/>
      <c r="J11" s="82"/>
      <c r="K11" s="41"/>
      <c r="L11" s="82"/>
      <c r="M11" s="41"/>
      <c r="N11" s="82"/>
      <c r="O11" s="41"/>
      <c r="P11" s="82"/>
      <c r="Q11" s="41"/>
      <c r="R11" s="82"/>
      <c r="S11" s="41"/>
      <c r="T11" s="82"/>
      <c r="U11" s="41"/>
      <c r="V11" s="82"/>
      <c r="W11" s="41"/>
      <c r="X11" s="82"/>
      <c r="Y11" s="41"/>
      <c r="Z11" s="82"/>
      <c r="AA11" s="41"/>
      <c r="AB11" s="82"/>
      <c r="AC11" s="41"/>
      <c r="AD11" s="82"/>
      <c r="AE11" s="41"/>
      <c r="AF11" s="82"/>
      <c r="AG11" s="41"/>
      <c r="AH11" s="82"/>
      <c r="AI11" s="41"/>
      <c r="AJ11" s="82"/>
      <c r="AK11" s="41"/>
      <c r="AL11" s="82"/>
      <c r="AM11" s="41"/>
      <c r="AN11" s="82"/>
    </row>
    <row r="12" spans="1:40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/>
      <c r="I12" s="41"/>
      <c r="J12" s="82"/>
      <c r="K12" s="41"/>
      <c r="L12" s="82"/>
      <c r="M12" s="41"/>
      <c r="N12" s="82"/>
      <c r="O12" s="41"/>
      <c r="P12" s="82"/>
      <c r="Q12" s="41"/>
      <c r="R12" s="82"/>
      <c r="S12" s="41"/>
      <c r="T12" s="82"/>
      <c r="U12" s="41"/>
      <c r="V12" s="82"/>
      <c r="W12" s="41"/>
      <c r="X12" s="82"/>
      <c r="Y12" s="41"/>
      <c r="Z12" s="82"/>
      <c r="AA12" s="41"/>
      <c r="AB12" s="82"/>
      <c r="AC12" s="41"/>
      <c r="AD12" s="82"/>
      <c r="AE12" s="41"/>
      <c r="AF12" s="82"/>
      <c r="AG12" s="41"/>
      <c r="AH12" s="82"/>
      <c r="AI12" s="41"/>
      <c r="AJ12" s="82"/>
      <c r="AK12" s="41"/>
      <c r="AL12" s="82"/>
      <c r="AM12" s="41"/>
      <c r="AN12" s="82"/>
    </row>
    <row r="13" spans="1:40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27"/>
      <c r="S13" s="39"/>
      <c r="T13" s="27"/>
      <c r="U13" s="39"/>
      <c r="V13" s="27"/>
      <c r="W13" s="39"/>
      <c r="X13" s="27"/>
      <c r="Y13" s="39"/>
      <c r="Z13" s="27"/>
      <c r="AA13" s="39"/>
      <c r="AB13" s="27"/>
      <c r="AC13" s="39"/>
      <c r="AD13" s="27"/>
      <c r="AE13" s="39"/>
      <c r="AF13" s="27"/>
      <c r="AG13" s="39"/>
      <c r="AH13" s="27"/>
      <c r="AI13" s="39"/>
      <c r="AJ13" s="27"/>
      <c r="AK13" s="39"/>
      <c r="AL13" s="27"/>
      <c r="AM13" s="39"/>
      <c r="AN13" s="27"/>
    </row>
    <row r="14" spans="1:40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</row>
    <row r="15" spans="1:40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</row>
    <row r="16" spans="1:40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</row>
    <row r="17" spans="1:40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27"/>
      <c r="S17" s="39"/>
      <c r="T17" s="27"/>
      <c r="U17" s="39"/>
      <c r="V17" s="27"/>
      <c r="W17" s="39"/>
      <c r="X17" s="27"/>
      <c r="Y17" s="39"/>
      <c r="Z17" s="27"/>
      <c r="AA17" s="39"/>
      <c r="AB17" s="27"/>
      <c r="AC17" s="39"/>
      <c r="AD17" s="27"/>
      <c r="AE17" s="39"/>
      <c r="AF17" s="27"/>
      <c r="AG17" s="39"/>
      <c r="AH17" s="27"/>
      <c r="AI17" s="39"/>
      <c r="AJ17" s="27"/>
      <c r="AK17" s="39"/>
      <c r="AL17" s="27"/>
      <c r="AM17" s="39"/>
      <c r="AN17" s="27"/>
    </row>
    <row r="18" spans="1:40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</row>
    <row r="19" spans="1:40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</row>
    <row r="20" spans="1:40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</row>
    <row r="21" spans="1:40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</row>
    <row r="22" spans="1:40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</row>
    <row r="23" spans="1:40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27"/>
      <c r="S23" s="39"/>
      <c r="T23" s="27"/>
      <c r="U23" s="39"/>
      <c r="V23" s="27"/>
      <c r="W23" s="39"/>
      <c r="X23" s="27"/>
      <c r="Y23" s="39"/>
      <c r="Z23" s="27"/>
      <c r="AA23" s="39"/>
      <c r="AB23" s="27"/>
      <c r="AC23" s="39"/>
      <c r="AD23" s="27"/>
      <c r="AE23" s="39"/>
      <c r="AF23" s="27"/>
      <c r="AG23" s="39"/>
      <c r="AH23" s="27"/>
      <c r="AI23" s="39"/>
      <c r="AJ23" s="27"/>
      <c r="AK23" s="39"/>
      <c r="AL23" s="27"/>
      <c r="AM23" s="39"/>
      <c r="AN23" s="27"/>
    </row>
    <row r="24" spans="1:40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</row>
    <row r="25" spans="1:40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</row>
    <row r="26" spans="1:40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</row>
    <row r="27" spans="1:40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</row>
    <row r="28" spans="1:40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</row>
    <row r="29" spans="1:40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</row>
    <row r="30" spans="1:40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</row>
    <row r="31" spans="1:40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</row>
    <row r="32" spans="1:40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27"/>
      <c r="S32" s="39"/>
      <c r="T32" s="27"/>
      <c r="U32" s="39"/>
      <c r="V32" s="27"/>
      <c r="W32" s="39"/>
      <c r="X32" s="27"/>
      <c r="Y32" s="39"/>
      <c r="Z32" s="27"/>
      <c r="AA32" s="39"/>
      <c r="AB32" s="27"/>
      <c r="AC32" s="39"/>
      <c r="AD32" s="27"/>
      <c r="AE32" s="39"/>
      <c r="AF32" s="27"/>
      <c r="AG32" s="39"/>
      <c r="AH32" s="27"/>
      <c r="AI32" s="39"/>
      <c r="AJ32" s="27"/>
      <c r="AK32" s="39"/>
      <c r="AL32" s="27"/>
      <c r="AM32" s="39"/>
      <c r="AN32" s="27"/>
    </row>
    <row r="33" spans="1:40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</row>
    <row r="34" spans="1:40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</row>
    <row r="35" spans="1:40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27"/>
      <c r="S35" s="39"/>
      <c r="T35" s="27"/>
      <c r="U35" s="39"/>
      <c r="V35" s="27"/>
      <c r="W35" s="39"/>
      <c r="X35" s="27"/>
      <c r="Y35" s="39"/>
      <c r="Z35" s="27"/>
      <c r="AA35" s="39"/>
      <c r="AB35" s="27"/>
      <c r="AC35" s="39"/>
      <c r="AD35" s="27"/>
      <c r="AE35" s="39"/>
      <c r="AF35" s="27"/>
      <c r="AG35" s="39"/>
      <c r="AH35" s="27"/>
      <c r="AI35" s="39"/>
      <c r="AJ35" s="27"/>
      <c r="AK35" s="39"/>
      <c r="AL35" s="27"/>
      <c r="AM35" s="39"/>
      <c r="AN35" s="27"/>
    </row>
    <row r="36" spans="1:40" ht="15.75" x14ac:dyDescent="0.25">
      <c r="A36" s="11" t="s">
        <v>49</v>
      </c>
      <c r="B36" s="11"/>
      <c r="C36" s="69">
        <v>345429375</v>
      </c>
      <c r="D36" s="69">
        <f t="shared" ref="D36" si="1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" si="2">SUM(G11:G12)</f>
        <v>346211166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spans="1:40" ht="18.75" x14ac:dyDescent="0.25">
      <c r="A37" s="12" t="s">
        <v>50</v>
      </c>
      <c r="B37" s="12"/>
      <c r="C37" s="69">
        <v>90403354</v>
      </c>
      <c r="D37" s="69">
        <f t="shared" ref="D37" si="3">D33+D34</f>
        <v>90494961</v>
      </c>
      <c r="E37" s="69">
        <f>E33+E34</f>
        <v>90575928</v>
      </c>
      <c r="F37" s="69">
        <f>F33+F34</f>
        <v>90669046</v>
      </c>
      <c r="G37" s="69">
        <f t="shared" ref="G37" si="4">G33+G34</f>
        <v>90761570</v>
      </c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spans="1:40" ht="18.75" x14ac:dyDescent="0.25">
      <c r="A38" s="13" t="s">
        <v>51</v>
      </c>
      <c r="B38" s="13"/>
      <c r="C38" s="69">
        <v>67776379</v>
      </c>
      <c r="D38" s="69">
        <f t="shared" ref="D38" si="5"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" si="6">SUM(G14,G15,G16,G18,G19,G20,G21,G22,G31)</f>
        <v>67997957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spans="1:40" ht="18.75" x14ac:dyDescent="0.25">
      <c r="A39" s="14" t="s">
        <v>52</v>
      </c>
      <c r="B39" s="14"/>
      <c r="C39" s="69">
        <v>559439597</v>
      </c>
      <c r="D39" s="69">
        <f t="shared" ref="D39" si="7">D9-D37-D38</f>
        <v>559928510</v>
      </c>
      <c r="E39" s="69">
        <f>E9-E37-E38</f>
        <v>560348239</v>
      </c>
      <c r="F39" s="69">
        <f>F9-F37-F38</f>
        <v>560799080</v>
      </c>
      <c r="G39" s="69">
        <f t="shared" ref="G39" si="8">G9-G37-G38</f>
        <v>561261828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spans="1:40" ht="18.75" x14ac:dyDescent="0.25">
      <c r="A40" s="14" t="s">
        <v>82</v>
      </c>
      <c r="B40" s="14"/>
      <c r="C40" s="70">
        <v>180728557</v>
      </c>
      <c r="D40" s="70">
        <f t="shared" ref="D40" si="9">D29+D30</f>
        <v>180856483</v>
      </c>
      <c r="E40" s="70">
        <f>E29+E30</f>
        <v>180963768</v>
      </c>
      <c r="F40" s="70">
        <f>F29+F30</f>
        <v>181083827</v>
      </c>
      <c r="G40" s="70">
        <f t="shared" ref="G40" si="10">G29+G30</f>
        <v>181211752</v>
      </c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</row>
    <row r="41" spans="1:40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39"/>
      <c r="L41" s="27"/>
      <c r="M41" s="39"/>
      <c r="N41" s="27"/>
      <c r="O41" s="39"/>
      <c r="P41" s="27"/>
      <c r="Q41" s="39"/>
      <c r="R41" s="27"/>
      <c r="S41" s="39"/>
      <c r="T41" s="27"/>
      <c r="U41" s="39"/>
      <c r="V41" s="27"/>
      <c r="W41" s="39"/>
      <c r="X41" s="27"/>
      <c r="Y41" s="39"/>
      <c r="Z41" s="27"/>
      <c r="AA41" s="39"/>
      <c r="AB41" s="27"/>
      <c r="AC41" s="39"/>
      <c r="AD41" s="27"/>
      <c r="AE41" s="39"/>
      <c r="AF41" s="27"/>
      <c r="AG41" s="39"/>
      <c r="AH41" s="27"/>
      <c r="AI41" s="39"/>
      <c r="AJ41" s="27"/>
      <c r="AK41" s="39"/>
      <c r="AL41" s="27"/>
      <c r="AM41" s="39"/>
      <c r="AN41" s="27"/>
    </row>
    <row r="42" spans="1:40" ht="18.75" x14ac:dyDescent="0.25">
      <c r="A42" s="15" t="s">
        <v>53</v>
      </c>
      <c r="B42" s="15"/>
      <c r="C42" s="71">
        <v>73930</v>
      </c>
      <c r="D42" s="71">
        <f t="shared" ref="D42" si="11">D37-C37</f>
        <v>91607</v>
      </c>
      <c r="E42" s="71">
        <f>E37-D37</f>
        <v>80967</v>
      </c>
      <c r="F42" s="71">
        <f>F37-E37</f>
        <v>93118</v>
      </c>
      <c r="G42" s="71">
        <f t="shared" ref="G42" si="12">G37-F37</f>
        <v>92524</v>
      </c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</row>
    <row r="43" spans="1:40" ht="18.75" x14ac:dyDescent="0.25">
      <c r="A43" s="16" t="s">
        <v>55</v>
      </c>
      <c r="B43" s="16"/>
      <c r="C43" s="72">
        <v>121626</v>
      </c>
      <c r="D43" s="72">
        <f t="shared" ref="D43" si="13">D40-C40</f>
        <v>127926</v>
      </c>
      <c r="E43" s="72">
        <f>E40-D40</f>
        <v>107285</v>
      </c>
      <c r="F43" s="72">
        <f>F40-E40</f>
        <v>120059</v>
      </c>
      <c r="G43" s="72">
        <f t="shared" ref="G43" si="14">G40-F40</f>
        <v>127925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spans="1:40" ht="18.75" x14ac:dyDescent="0.25">
      <c r="A44" s="18" t="s">
        <v>57</v>
      </c>
      <c r="B44" s="18"/>
      <c r="C44" s="73">
        <v>138270.90000000002</v>
      </c>
      <c r="D44" s="73">
        <f t="shared" ref="D44" si="15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" si="16">(G38-F38)+G43*0.65</f>
        <v>131604.25</v>
      </c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</row>
    <row r="45" spans="1:40" ht="18.75" x14ac:dyDescent="0.25">
      <c r="A45" s="19" t="s">
        <v>59</v>
      </c>
      <c r="B45" s="19"/>
      <c r="C45" s="74">
        <v>305687.09999999998</v>
      </c>
      <c r="D45" s="74">
        <f t="shared" ref="D45" si="17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" si="18">G39-F39-0.65*G43-G42</f>
        <v>287072.75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</row>
    <row r="46" spans="1:40" ht="18.75" x14ac:dyDescent="0.25">
      <c r="A46" s="20" t="s">
        <v>61</v>
      </c>
      <c r="B46" s="20"/>
      <c r="C46" s="75">
        <v>206175</v>
      </c>
      <c r="D46" s="75">
        <f t="shared" ref="D46" si="19">D36-C36</f>
        <v>173384</v>
      </c>
      <c r="E46" s="75">
        <f>E36-D36</f>
        <v>153220</v>
      </c>
      <c r="F46" s="75">
        <f>F36-E36</f>
        <v>217445</v>
      </c>
      <c r="G46" s="75">
        <f t="shared" ref="G46" si="20">G36-F36</f>
        <v>237742</v>
      </c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</row>
    <row r="47" spans="1:40" ht="18.75" x14ac:dyDescent="0.25">
      <c r="A47" s="21" t="s">
        <v>63</v>
      </c>
      <c r="B47" s="21"/>
      <c r="C47" s="76">
        <v>650133</v>
      </c>
      <c r="D47" s="76">
        <f t="shared" ref="D47:E47" si="21">D44+D45+D46</f>
        <v>633826</v>
      </c>
      <c r="E47" s="76">
        <f t="shared" si="21"/>
        <v>545343</v>
      </c>
      <c r="F47" s="76">
        <f t="shared" ref="F47:G47" si="22">F44+F45+F46</f>
        <v>631796</v>
      </c>
      <c r="G47" s="76">
        <f t="shared" si="22"/>
        <v>656419</v>
      </c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</row>
    <row r="48" spans="1:40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40" ht="15.75" x14ac:dyDescent="0.25">
      <c r="A49" s="7" t="s">
        <v>64</v>
      </c>
      <c r="B49" s="7"/>
      <c r="C49" s="77">
        <v>16384</v>
      </c>
      <c r="D49" s="77">
        <f t="shared" ref="D49:D53" si="23">D24-C24</f>
        <v>20254</v>
      </c>
      <c r="E49" s="77">
        <f t="shared" ref="E49:G53" si="24">E24-D24</f>
        <v>12158</v>
      </c>
      <c r="F49" s="77">
        <f t="shared" si="24"/>
        <v>17495</v>
      </c>
      <c r="G49" s="77">
        <f t="shared" si="24"/>
        <v>17344</v>
      </c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</row>
    <row r="50" spans="1:40" ht="15.75" x14ac:dyDescent="0.25">
      <c r="A50" s="7" t="s">
        <v>65</v>
      </c>
      <c r="B50" s="7"/>
      <c r="C50" s="77">
        <v>16495</v>
      </c>
      <c r="D50" s="77">
        <f t="shared" si="23"/>
        <v>19501</v>
      </c>
      <c r="E50" s="77">
        <f t="shared" si="24"/>
        <v>16977</v>
      </c>
      <c r="F50" s="77">
        <f t="shared" si="24"/>
        <v>17384</v>
      </c>
      <c r="G50" s="77">
        <f t="shared" si="24"/>
        <v>18042</v>
      </c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</row>
    <row r="51" spans="1:40" ht="15.75" x14ac:dyDescent="0.25">
      <c r="A51" s="7" t="s">
        <v>66</v>
      </c>
      <c r="B51" s="7"/>
      <c r="C51" s="77">
        <v>4053</v>
      </c>
      <c r="D51" s="77">
        <f t="shared" si="23"/>
        <v>4341</v>
      </c>
      <c r="E51" s="77">
        <f t="shared" si="24"/>
        <v>3617</v>
      </c>
      <c r="F51" s="77">
        <f t="shared" si="24"/>
        <v>3897</v>
      </c>
      <c r="G51" s="77">
        <f t="shared" si="24"/>
        <v>3746</v>
      </c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</row>
    <row r="52" spans="1:40" ht="15.75" x14ac:dyDescent="0.25">
      <c r="A52" s="7" t="s">
        <v>67</v>
      </c>
      <c r="B52" s="7"/>
      <c r="C52" s="77">
        <v>57242</v>
      </c>
      <c r="D52" s="77">
        <f t="shared" si="23"/>
        <v>61418</v>
      </c>
      <c r="E52" s="77">
        <f t="shared" si="24"/>
        <v>52515</v>
      </c>
      <c r="F52" s="77">
        <f t="shared" si="24"/>
        <v>56613</v>
      </c>
      <c r="G52" s="77">
        <f t="shared" si="24"/>
        <v>55855</v>
      </c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</row>
    <row r="53" spans="1:40" ht="15.75" x14ac:dyDescent="0.25">
      <c r="A53" s="7" t="s">
        <v>68</v>
      </c>
      <c r="B53" s="7"/>
      <c r="C53" s="77">
        <v>4355</v>
      </c>
      <c r="D53" s="77">
        <f t="shared" si="23"/>
        <v>4692</v>
      </c>
      <c r="E53" s="77">
        <f t="shared" si="24"/>
        <v>3814</v>
      </c>
      <c r="F53" s="77">
        <f t="shared" si="24"/>
        <v>4368</v>
      </c>
      <c r="G53" s="77">
        <f t="shared" si="24"/>
        <v>4440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</row>
    <row r="54" spans="1:40" ht="18.75" x14ac:dyDescent="0.25">
      <c r="A54" s="23" t="s">
        <v>70</v>
      </c>
      <c r="B54" s="23"/>
      <c r="C54" s="78">
        <v>98529</v>
      </c>
      <c r="D54" s="78">
        <f t="shared" ref="D54:E54" si="25">SUM(D49:D53)</f>
        <v>110206</v>
      </c>
      <c r="E54" s="78">
        <f t="shared" si="25"/>
        <v>89081</v>
      </c>
      <c r="F54" s="78">
        <f t="shared" ref="F54:G54" si="26">SUM(F49:F53)</f>
        <v>99757</v>
      </c>
      <c r="G54" s="78">
        <f t="shared" si="26"/>
        <v>99427</v>
      </c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</row>
    <row r="55" spans="1:40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</row>
    <row r="56" spans="1:40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</row>
    <row r="57" spans="1:40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</row>
    <row r="58" spans="1:40" x14ac:dyDescent="0.25">
      <c r="A58" s="22" t="s">
        <v>73</v>
      </c>
      <c r="B58" s="22"/>
      <c r="C58" s="79">
        <v>9.0562549122347402</v>
      </c>
      <c r="D58" s="79">
        <f t="shared" ref="D58:E58" si="27">D44/(D56*347)</f>
        <v>9.5813400576368899</v>
      </c>
      <c r="E58" s="79">
        <f t="shared" si="27"/>
        <v>8.0623690070736185</v>
      </c>
      <c r="F58" s="79">
        <f t="shared" ref="F58:G58" si="28">F44/(F56*347)</f>
        <v>9.025289859928959</v>
      </c>
      <c r="G58" s="79">
        <f t="shared" si="28"/>
        <v>7.9013118395773292</v>
      </c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</row>
    <row r="59" spans="1:40" x14ac:dyDescent="0.25">
      <c r="A59" s="22" t="s">
        <v>74</v>
      </c>
      <c r="B59" s="22"/>
      <c r="C59" s="79">
        <v>20.487038402251859</v>
      </c>
      <c r="D59" s="79">
        <f t="shared" ref="D59:E59" si="29">D45/(D55*347)</f>
        <v>20.118738392571245</v>
      </c>
      <c r="E59" s="79">
        <f t="shared" si="29"/>
        <v>17.620300628766046</v>
      </c>
      <c r="F59" s="79">
        <f t="shared" ref="F59:G59" si="30">F45/(F55*347)</f>
        <v>18.318355383809276</v>
      </c>
      <c r="G59" s="79">
        <f t="shared" si="30"/>
        <v>17.984760681618845</v>
      </c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</row>
    <row r="60" spans="1:40" x14ac:dyDescent="0.25">
      <c r="A60" s="22" t="s">
        <v>75</v>
      </c>
      <c r="B60" s="22"/>
      <c r="C60" s="79">
        <v>13.817773607667046</v>
      </c>
      <c r="D60" s="79">
        <f t="shared" ref="D60:E60" si="31">D46/(D55*347)</f>
        <v>11.103682356708294</v>
      </c>
      <c r="E60" s="79">
        <f t="shared" si="31"/>
        <v>10.035368090123134</v>
      </c>
      <c r="F60" s="79">
        <f t="shared" ref="F60:G60" si="32">F46/(F55*347)</f>
        <v>14.241878438564317</v>
      </c>
      <c r="G60" s="79">
        <f t="shared" si="32"/>
        <v>14.894248840997369</v>
      </c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</row>
    <row r="61" spans="1:40" x14ac:dyDescent="0.25">
      <c r="A61" s="22" t="s">
        <v>76</v>
      </c>
      <c r="B61" s="22"/>
      <c r="C61" s="79">
        <v>43.36106692215364</v>
      </c>
      <c r="D61" s="79">
        <f t="shared" ref="D61:E61" si="33">SUM(D58:D60)</f>
        <v>40.803760806916429</v>
      </c>
      <c r="E61" s="79">
        <f t="shared" si="33"/>
        <v>35.718037725962802</v>
      </c>
      <c r="F61" s="79">
        <f t="shared" ref="F61" si="34">SUM(F58:F60)</f>
        <v>41.585523682302551</v>
      </c>
      <c r="G61" s="79">
        <f t="shared" ref="G61" si="35">SUM(G58:G60)</f>
        <v>40.78032136219354</v>
      </c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2026-03-07T00:10:24Z</dcterms:modified>
</cp:coreProperties>
</file>