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0" i="4" l="1"/>
  <c r="AF59" i="4"/>
  <c r="AF58" i="4"/>
  <c r="AF54" i="4"/>
  <c r="AF49" i="4"/>
  <c r="AF47" i="4"/>
  <c r="AF45" i="4"/>
  <c r="AF44" i="4"/>
  <c r="AF50" i="4"/>
  <c r="AF51" i="4"/>
  <c r="AF52" i="4"/>
  <c r="AF53" i="4"/>
  <c r="AF42" i="4"/>
  <c r="AF43" i="4"/>
  <c r="AF46" i="4"/>
  <c r="AF36" i="4"/>
  <c r="AF37" i="4"/>
  <c r="AF38" i="4"/>
  <c r="AF39" i="4"/>
  <c r="AF40" i="4"/>
  <c r="AF9" i="4"/>
  <c r="AE49" i="4"/>
  <c r="AF61" i="4" l="1"/>
  <c r="AE42" i="4" l="1"/>
  <c r="AE43" i="4"/>
  <c r="AE50" i="4" l="1"/>
  <c r="AE51" i="4"/>
  <c r="AE52" i="4"/>
  <c r="AE53" i="4"/>
  <c r="AE36" i="4"/>
  <c r="AE46" i="4" s="1"/>
  <c r="AE60" i="4" s="1"/>
  <c r="AE37" i="4"/>
  <c r="AE38" i="4"/>
  <c r="AE40" i="4"/>
  <c r="AE9" i="4"/>
  <c r="AD42" i="4"/>
  <c r="AE44" i="4" l="1"/>
  <c r="AE58" i="4" s="1"/>
  <c r="AE54" i="4"/>
  <c r="AE39" i="4"/>
  <c r="AE45" i="4" s="1"/>
  <c r="D40" i="4"/>
  <c r="D39" i="4"/>
  <c r="D38" i="4"/>
  <c r="AE47" i="4" l="1"/>
  <c r="AE59" i="4"/>
  <c r="AE61" i="4" s="1"/>
  <c r="AD36" i="4"/>
  <c r="AD46" i="4" s="1"/>
  <c r="AD60" i="4" s="1"/>
  <c r="AD37" i="4"/>
  <c r="AD38" i="4"/>
  <c r="AD40" i="4"/>
  <c r="AD43" i="4" s="1"/>
  <c r="AD49" i="4"/>
  <c r="AD50" i="4"/>
  <c r="AD51" i="4"/>
  <c r="AD52" i="4"/>
  <c r="AD53" i="4"/>
  <c r="AD9" i="4"/>
  <c r="AD54" i="4" l="1"/>
  <c r="AD44" i="4"/>
  <c r="AD58" i="4" s="1"/>
  <c r="AD39" i="4"/>
  <c r="AC58" i="4"/>
  <c r="AC59" i="4"/>
  <c r="AC60" i="4"/>
  <c r="AC61" i="4"/>
  <c r="AC36" i="4"/>
  <c r="AC46" i="4" s="1"/>
  <c r="AC37" i="4"/>
  <c r="AC39" i="4" s="1"/>
  <c r="AC38" i="4"/>
  <c r="AC44" i="4" s="1"/>
  <c r="AC40" i="4"/>
  <c r="AC43" i="4"/>
  <c r="AC49" i="4"/>
  <c r="AC54" i="4" s="1"/>
  <c r="AC50" i="4"/>
  <c r="AC51" i="4"/>
  <c r="AC52" i="4"/>
  <c r="AC53" i="4"/>
  <c r="AC9" i="4"/>
  <c r="AD45" i="4" l="1"/>
  <c r="AD59" i="4" s="1"/>
  <c r="AD61" i="4" s="1"/>
  <c r="AC42" i="4"/>
  <c r="AC45" i="4" s="1"/>
  <c r="AC47" i="4" s="1"/>
  <c r="AB58" i="4"/>
  <c r="AB61" i="4" s="1"/>
  <c r="AB59" i="4"/>
  <c r="AB60" i="4"/>
  <c r="AB36" i="4"/>
  <c r="AB37" i="4"/>
  <c r="AB39" i="4" s="1"/>
  <c r="AB38" i="4"/>
  <c r="AB40" i="4"/>
  <c r="AB43" i="4" s="1"/>
  <c r="AB44" i="4" s="1"/>
  <c r="AB42" i="4"/>
  <c r="AB46" i="4"/>
  <c r="AB49" i="4"/>
  <c r="AB50" i="4"/>
  <c r="AB51" i="4"/>
  <c r="AB54" i="4" s="1"/>
  <c r="AB52" i="4"/>
  <c r="AB53" i="4"/>
  <c r="AB9" i="4"/>
  <c r="AD47" i="4" l="1"/>
  <c r="AB45" i="4"/>
  <c r="AB47" i="4" s="1"/>
  <c r="AA58" i="4"/>
  <c r="AA59" i="4"/>
  <c r="AA60" i="4"/>
  <c r="AA61" i="4"/>
  <c r="AA36" i="4"/>
  <c r="AA46" i="4" s="1"/>
  <c r="AA37" i="4"/>
  <c r="AA39" i="4" s="1"/>
  <c r="AA38" i="4"/>
  <c r="AA44" i="4" s="1"/>
  <c r="AA40" i="4"/>
  <c r="AA43" i="4"/>
  <c r="AA49" i="4"/>
  <c r="AA54" i="4" s="1"/>
  <c r="AA50" i="4"/>
  <c r="AA51" i="4"/>
  <c r="AA52" i="4"/>
  <c r="AA53" i="4"/>
  <c r="AA9" i="4"/>
  <c r="AA42" i="4" l="1"/>
  <c r="AA45" i="4" s="1"/>
  <c r="AA47" i="4" s="1"/>
  <c r="Z58" i="4"/>
  <c r="Z59" i="4"/>
  <c r="Z60" i="4"/>
  <c r="Z61" i="4"/>
  <c r="Z38" i="4"/>
  <c r="Z44" i="4" s="1"/>
  <c r="X44" i="4"/>
  <c r="Z36" i="4"/>
  <c r="Z37" i="4"/>
  <c r="Z40" i="4"/>
  <c r="Z43" i="4" s="1"/>
  <c r="Z42" i="4"/>
  <c r="Z46" i="4"/>
  <c r="Z49" i="4"/>
  <c r="Z54" i="4" s="1"/>
  <c r="Z50" i="4"/>
  <c r="Z51" i="4"/>
  <c r="Z52" i="4"/>
  <c r="Z53" i="4"/>
  <c r="Z9" i="4"/>
  <c r="Z39" i="4" l="1"/>
  <c r="Z45" i="4" s="1"/>
  <c r="Y58" i="4"/>
  <c r="Y59" i="4"/>
  <c r="Y60" i="4"/>
  <c r="Y61" i="4"/>
  <c r="Y36" i="4"/>
  <c r="Y37" i="4"/>
  <c r="Y42" i="4" s="1"/>
  <c r="Y38" i="4"/>
  <c r="Y39" i="4" s="1"/>
  <c r="Y45" i="4" s="1"/>
  <c r="Y40" i="4"/>
  <c r="Y43" i="4" s="1"/>
  <c r="Y46" i="4"/>
  <c r="Y49" i="4"/>
  <c r="Y50" i="4"/>
  <c r="Y51" i="4"/>
  <c r="Y52" i="4"/>
  <c r="Y53" i="4"/>
  <c r="Y54" i="4"/>
  <c r="Y9" i="4"/>
  <c r="Z47" i="4" l="1"/>
  <c r="Y44" i="4"/>
  <c r="Y47" i="4" s="1"/>
  <c r="X58" i="4"/>
  <c r="X61" i="4" s="1"/>
  <c r="X59" i="4"/>
  <c r="X60" i="4"/>
  <c r="X36" i="4"/>
  <c r="X37" i="4"/>
  <c r="X42" i="4" s="1"/>
  <c r="X38" i="4"/>
  <c r="X39" i="4" s="1"/>
  <c r="X40" i="4"/>
  <c r="X43" i="4" s="1"/>
  <c r="X46" i="4"/>
  <c r="X49" i="4"/>
  <c r="X54" i="4" s="1"/>
  <c r="X50" i="4"/>
  <c r="X51" i="4"/>
  <c r="X52" i="4"/>
  <c r="X53" i="4"/>
  <c r="X9" i="4"/>
  <c r="X45" i="4" l="1"/>
  <c r="W36" i="4"/>
  <c r="W46" i="4" s="1"/>
  <c r="W60" i="4" s="1"/>
  <c r="W37" i="4"/>
  <c r="W38" i="4"/>
  <c r="W40" i="4"/>
  <c r="W43" i="4" s="1"/>
  <c r="W49" i="4"/>
  <c r="W50" i="4"/>
  <c r="W51" i="4"/>
  <c r="W52" i="4"/>
  <c r="W53" i="4"/>
  <c r="W9" i="4"/>
  <c r="X47" i="4" l="1"/>
  <c r="W54" i="4"/>
  <c r="W39" i="4"/>
  <c r="W44" i="4"/>
  <c r="V36" i="4"/>
  <c r="V37" i="4"/>
  <c r="W42" i="4" s="1"/>
  <c r="V38" i="4"/>
  <c r="V40" i="4"/>
  <c r="V49" i="4"/>
  <c r="V50" i="4"/>
  <c r="V51" i="4"/>
  <c r="V52" i="4"/>
  <c r="V53" i="4"/>
  <c r="V9" i="4"/>
  <c r="W58" i="4" l="1"/>
  <c r="V43" i="4"/>
  <c r="V54" i="4"/>
  <c r="V39" i="4"/>
  <c r="W45" i="4" s="1"/>
  <c r="U40" i="4"/>
  <c r="U53" i="4"/>
  <c r="U52" i="4"/>
  <c r="U51" i="4"/>
  <c r="U50" i="4"/>
  <c r="U49" i="4"/>
  <c r="U38" i="4"/>
  <c r="V44" i="4" s="1"/>
  <c r="U37" i="4"/>
  <c r="U36" i="4"/>
  <c r="U9" i="4"/>
  <c r="W59" i="4" l="1"/>
  <c r="W61" i="4" s="1"/>
  <c r="W47" i="4"/>
  <c r="U43" i="4"/>
  <c r="V46" i="4"/>
  <c r="V60" i="4" s="1"/>
  <c r="V42" i="4"/>
  <c r="V45" i="4" s="1"/>
  <c r="V59" i="4" s="1"/>
  <c r="V58" i="4"/>
  <c r="U54" i="4"/>
  <c r="U39" i="4"/>
  <c r="T36" i="4"/>
  <c r="U46" i="4" s="1"/>
  <c r="U60" i="4" s="1"/>
  <c r="T37" i="4"/>
  <c r="T38" i="4"/>
  <c r="T39" i="4" s="1"/>
  <c r="T40" i="4"/>
  <c r="T49" i="4"/>
  <c r="T50" i="4"/>
  <c r="T51" i="4"/>
  <c r="T52" i="4"/>
  <c r="T53" i="4"/>
  <c r="T9" i="4"/>
  <c r="V61" i="4" l="1"/>
  <c r="V47" i="4"/>
  <c r="T54" i="4"/>
  <c r="T46" i="4"/>
  <c r="T60" i="4" s="1"/>
  <c r="U45" i="4"/>
  <c r="U59" i="4" s="1"/>
  <c r="U61" i="4" s="1"/>
  <c r="U44" i="4"/>
  <c r="U58" i="4" s="1"/>
  <c r="U42" i="4"/>
  <c r="S9" i="4"/>
  <c r="S36" i="4"/>
  <c r="S37" i="4"/>
  <c r="S38" i="4"/>
  <c r="S40" i="4"/>
  <c r="S49" i="4"/>
  <c r="S54" i="4" s="1"/>
  <c r="S50" i="4"/>
  <c r="S51" i="4"/>
  <c r="S52" i="4"/>
  <c r="S53" i="4"/>
  <c r="S43" i="4" l="1"/>
  <c r="T43" i="4"/>
  <c r="T44" i="4" s="1"/>
  <c r="U47" i="4"/>
  <c r="T42" i="4"/>
  <c r="T58" i="4"/>
  <c r="S39" i="4"/>
  <c r="R40" i="4"/>
  <c r="R9" i="4"/>
  <c r="R53" i="4"/>
  <c r="R52" i="4"/>
  <c r="R51" i="4"/>
  <c r="R50" i="4"/>
  <c r="R49" i="4"/>
  <c r="R38" i="4"/>
  <c r="S44" i="4" s="1"/>
  <c r="R37" i="4"/>
  <c r="R36" i="4"/>
  <c r="T45" i="4" l="1"/>
  <c r="S42" i="4"/>
  <c r="R46" i="4"/>
  <c r="R60" i="4" s="1"/>
  <c r="S46" i="4"/>
  <c r="S60" i="4" s="1"/>
  <c r="S58" i="4"/>
  <c r="R54" i="4"/>
  <c r="R39" i="4"/>
  <c r="S45" i="4" s="1"/>
  <c r="Q49" i="4"/>
  <c r="Q50" i="4"/>
  <c r="Q51" i="4"/>
  <c r="Q52" i="4"/>
  <c r="Q53" i="4"/>
  <c r="Q36" i="4"/>
  <c r="Q37" i="4"/>
  <c r="Q38" i="4"/>
  <c r="Q40" i="4"/>
  <c r="R43" i="4" s="1"/>
  <c r="R44" i="4" s="1"/>
  <c r="R58" i="4" s="1"/>
  <c r="Q9" i="4"/>
  <c r="S59" i="4" l="1"/>
  <c r="S61" i="4" s="1"/>
  <c r="S47" i="4"/>
  <c r="Q39" i="4"/>
  <c r="T59" i="4"/>
  <c r="T61" i="4" s="1"/>
  <c r="T47" i="4"/>
  <c r="Q54" i="4"/>
  <c r="R42" i="4"/>
  <c r="Q43" i="4"/>
  <c r="R45" i="4"/>
  <c r="R59" i="4" s="1"/>
  <c r="R61" i="4"/>
  <c r="P36" i="4"/>
  <c r="Q46" i="4" s="1"/>
  <c r="Q60" i="4" s="1"/>
  <c r="P37" i="4"/>
  <c r="P38" i="4"/>
  <c r="P40" i="4"/>
  <c r="P49" i="4"/>
  <c r="P50" i="4"/>
  <c r="P51" i="4"/>
  <c r="P52" i="4"/>
  <c r="P53" i="4"/>
  <c r="P9" i="4"/>
  <c r="Q42" i="4" l="1"/>
  <c r="P54" i="4"/>
  <c r="P46" i="4"/>
  <c r="P60" i="4" s="1"/>
  <c r="P39" i="4"/>
  <c r="R47" i="4"/>
  <c r="Q44" i="4"/>
  <c r="O49" i="4"/>
  <c r="O50" i="4"/>
  <c r="O51" i="4"/>
  <c r="O52" i="4"/>
  <c r="O53" i="4"/>
  <c r="O54" i="4"/>
  <c r="O36" i="4"/>
  <c r="O37" i="4"/>
  <c r="P42" i="4" s="1"/>
  <c r="O38" i="4"/>
  <c r="O39" i="4" s="1"/>
  <c r="O40" i="4"/>
  <c r="P43" i="4" s="1"/>
  <c r="O9" i="4"/>
  <c r="P45" i="4" l="1"/>
  <c r="P59" i="4" s="1"/>
  <c r="P44" i="4"/>
  <c r="Q45" i="4"/>
  <c r="Q59" i="4" s="1"/>
  <c r="Q47" i="4"/>
  <c r="Q58" i="4"/>
  <c r="Q61" i="4" s="1"/>
  <c r="N36" i="4"/>
  <c r="N37" i="4"/>
  <c r="O42" i="4" s="1"/>
  <c r="N38" i="4"/>
  <c r="N40" i="4"/>
  <c r="N49" i="4"/>
  <c r="N50" i="4"/>
  <c r="N51" i="4"/>
  <c r="N52" i="4"/>
  <c r="N53" i="4"/>
  <c r="N9" i="4"/>
  <c r="O43" i="4" l="1"/>
  <c r="O44" i="4" s="1"/>
  <c r="P47" i="4"/>
  <c r="P58" i="4"/>
  <c r="P61" i="4" s="1"/>
  <c r="O46" i="4"/>
  <c r="O60" i="4" s="1"/>
  <c r="N54" i="4"/>
  <c r="N39" i="4"/>
  <c r="O45" i="4" s="1"/>
  <c r="O59" i="4" s="1"/>
  <c r="N42" i="4"/>
  <c r="M49" i="4"/>
  <c r="M50" i="4"/>
  <c r="M51" i="4"/>
  <c r="M52" i="4"/>
  <c r="M53" i="4"/>
  <c r="M36" i="4"/>
  <c r="M37" i="4"/>
  <c r="M38" i="4"/>
  <c r="M40" i="4"/>
  <c r="M9" i="4"/>
  <c r="O47" i="4" l="1"/>
  <c r="O58" i="4"/>
  <c r="O61" i="4" s="1"/>
  <c r="M54" i="4"/>
  <c r="M46" i="4"/>
  <c r="M60" i="4" s="1"/>
  <c r="N46" i="4"/>
  <c r="N60" i="4" s="1"/>
  <c r="N43" i="4"/>
  <c r="N44" i="4" s="1"/>
  <c r="N58" i="4"/>
  <c r="M39" i="4"/>
  <c r="L9" i="4"/>
  <c r="L36" i="4"/>
  <c r="L37" i="4"/>
  <c r="L38" i="4"/>
  <c r="L40" i="4"/>
  <c r="M43" i="4" s="1"/>
  <c r="M44" i="4" s="1"/>
  <c r="M58" i="4" s="1"/>
  <c r="L49" i="4"/>
  <c r="L50" i="4"/>
  <c r="L51" i="4"/>
  <c r="L52" i="4"/>
  <c r="L53" i="4"/>
  <c r="N45" i="4" l="1"/>
  <c r="N59" i="4" s="1"/>
  <c r="N61" i="4" s="1"/>
  <c r="L44" i="4"/>
  <c r="L39" i="4"/>
  <c r="M45" i="4" s="1"/>
  <c r="M42" i="4"/>
  <c r="L54" i="4"/>
  <c r="N47" i="4"/>
  <c r="L58" i="4"/>
  <c r="K36" i="4"/>
  <c r="K37" i="4"/>
  <c r="K39" i="4" s="1"/>
  <c r="K38" i="4"/>
  <c r="K40" i="4"/>
  <c r="L43" i="4" s="1"/>
  <c r="K49" i="4"/>
  <c r="K50" i="4"/>
  <c r="K51" i="4"/>
  <c r="K52" i="4"/>
  <c r="K53" i="4"/>
  <c r="K9" i="4"/>
  <c r="M59" i="4" l="1"/>
  <c r="M61" i="4" s="1"/>
  <c r="M47" i="4"/>
  <c r="L42" i="4"/>
  <c r="L45" i="4" s="1"/>
  <c r="L59" i="4" s="1"/>
  <c r="L61" i="4" s="1"/>
  <c r="K46" i="4"/>
  <c r="K60" i="4" s="1"/>
  <c r="K54" i="4"/>
  <c r="K44" i="4"/>
  <c r="K58" i="4" s="1"/>
  <c r="L46" i="4"/>
  <c r="L60" i="4" s="1"/>
  <c r="J49" i="4"/>
  <c r="J54" i="4" s="1"/>
  <c r="J50" i="4"/>
  <c r="J51" i="4"/>
  <c r="J52" i="4"/>
  <c r="J53" i="4"/>
  <c r="J36" i="4"/>
  <c r="J37" i="4"/>
  <c r="K42" i="4" s="1"/>
  <c r="J38" i="4"/>
  <c r="J40" i="4"/>
  <c r="K43" i="4" s="1"/>
  <c r="J9" i="4"/>
  <c r="J39" i="4" l="1"/>
  <c r="K45" i="4" s="1"/>
  <c r="K59" i="4" s="1"/>
  <c r="L47" i="4"/>
  <c r="K61" i="4"/>
  <c r="I49" i="4"/>
  <c r="I50" i="4"/>
  <c r="I51" i="4"/>
  <c r="I52" i="4"/>
  <c r="I53" i="4"/>
  <c r="I36" i="4"/>
  <c r="I37" i="4"/>
  <c r="J42" i="4" s="1"/>
  <c r="I38" i="4"/>
  <c r="I40" i="4"/>
  <c r="I9" i="4"/>
  <c r="J43" i="4" l="1"/>
  <c r="J44" i="4" s="1"/>
  <c r="J58" i="4" s="1"/>
  <c r="I39" i="4"/>
  <c r="J45" i="4" s="1"/>
  <c r="K47" i="4"/>
  <c r="J46" i="4"/>
  <c r="J60" i="4" s="1"/>
  <c r="I54" i="4"/>
  <c r="H49" i="4"/>
  <c r="H50" i="4"/>
  <c r="H51" i="4"/>
  <c r="H52" i="4"/>
  <c r="H53" i="4"/>
  <c r="H36" i="4"/>
  <c r="H37" i="4"/>
  <c r="I42" i="4" s="1"/>
  <c r="H38" i="4"/>
  <c r="H40" i="4"/>
  <c r="I43" i="4" s="1"/>
  <c r="H9" i="4"/>
  <c r="H39" i="4" s="1"/>
  <c r="I44" i="4" l="1"/>
  <c r="I58" i="4" s="1"/>
  <c r="I46" i="4"/>
  <c r="I60" i="4" s="1"/>
  <c r="I45" i="4"/>
  <c r="I59" i="4" s="1"/>
  <c r="H54" i="4"/>
  <c r="J47" i="4"/>
  <c r="J59" i="4"/>
  <c r="J61" i="4"/>
  <c r="H42" i="4"/>
  <c r="I47" i="4"/>
  <c r="G53" i="4"/>
  <c r="G52" i="4"/>
  <c r="G51" i="4"/>
  <c r="G50" i="4"/>
  <c r="G49" i="4"/>
  <c r="G40" i="4"/>
  <c r="H43" i="4" s="1"/>
  <c r="G38" i="4"/>
  <c r="G37" i="4"/>
  <c r="G36" i="4"/>
  <c r="H46" i="4" s="1"/>
  <c r="H60" i="4" s="1"/>
  <c r="G9" i="4"/>
  <c r="G39" i="4" l="1"/>
  <c r="H45" i="4" s="1"/>
  <c r="H59" i="4" s="1"/>
  <c r="H44" i="4"/>
  <c r="I61" i="4"/>
  <c r="G43" i="4"/>
  <c r="G44" i="4" s="1"/>
  <c r="G58" i="4" s="1"/>
  <c r="G54" i="4"/>
  <c r="F49" i="4"/>
  <c r="F50" i="4"/>
  <c r="F51" i="4"/>
  <c r="F52" i="4"/>
  <c r="F53" i="4"/>
  <c r="F36" i="4"/>
  <c r="G46" i="4" s="1"/>
  <c r="G60" i="4" s="1"/>
  <c r="F37" i="4"/>
  <c r="G42" i="4" s="1"/>
  <c r="F38" i="4"/>
  <c r="F40" i="4"/>
  <c r="F9" i="4"/>
  <c r="F39" i="4" s="1"/>
  <c r="G45" i="4" s="1"/>
  <c r="G59" i="4" s="1"/>
  <c r="H47" i="4" l="1"/>
  <c r="H58" i="4"/>
  <c r="H61" i="4" s="1"/>
  <c r="F54" i="4"/>
  <c r="G61" i="4"/>
  <c r="G47" i="4"/>
  <c r="E9" i="4"/>
  <c r="E49" i="4"/>
  <c r="E50" i="4"/>
  <c r="E51" i="4"/>
  <c r="E52" i="4"/>
  <c r="E53" i="4"/>
  <c r="E36" i="4"/>
  <c r="F46" i="4" s="1"/>
  <c r="F60" i="4" s="1"/>
  <c r="E37" i="4"/>
  <c r="E38" i="4"/>
  <c r="E40" i="4"/>
  <c r="F43" i="4" s="1"/>
  <c r="E54" i="4" l="1"/>
  <c r="F44" i="4"/>
  <c r="F58" i="4" s="1"/>
  <c r="E39" i="4"/>
  <c r="F42" i="4"/>
  <c r="D53" i="4"/>
  <c r="D52" i="4"/>
  <c r="D51" i="4"/>
  <c r="D50" i="4"/>
  <c r="D49" i="4"/>
  <c r="E43" i="4"/>
  <c r="D37" i="4"/>
  <c r="D42" i="4" s="1"/>
  <c r="D36" i="4"/>
  <c r="D46" i="4" s="1"/>
  <c r="D60" i="4" s="1"/>
  <c r="D9" i="4"/>
  <c r="E44" i="4" l="1"/>
  <c r="E58" i="4"/>
  <c r="D43" i="4"/>
  <c r="D44" i="4" s="1"/>
  <c r="D58" i="4" s="1"/>
  <c r="D54" i="4"/>
  <c r="E46" i="4"/>
  <c r="E60" i="4" s="1"/>
  <c r="F45" i="4"/>
  <c r="E42" i="4"/>
  <c r="E45" i="4" s="1"/>
  <c r="E59" i="4" s="1"/>
  <c r="E61" i="4" l="1"/>
  <c r="F47" i="4"/>
  <c r="F59" i="4"/>
  <c r="F61" i="4" s="1"/>
  <c r="D45" i="4"/>
  <c r="D59" i="4" s="1"/>
  <c r="E47" i="4"/>
  <c r="D61" i="4"/>
  <c r="D47" i="4" l="1"/>
  <c r="AG36" i="3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<sst xmlns="http://schemas.openxmlformats.org/spreadsheetml/2006/main" count="227" uniqueCount="83">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</sst>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 vertical="top"/>
    </xf>
    <xf numFmtId="1" fontId="12" fillId="11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61"/>
  <sheetViews>
    <sheetView tabSelected="1" workbookViewId="0">
      <pane xSplit="2" topLeftCell="U1" activePane="topRight" state="frozen"/>
      <selection pane="topRight" activeCell="AD43" sqref="AD43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140625" style="42" bestFit="1" customWidth="1"/>
    <col min="4" max="4" width="10.140625" bestFit="1" customWidth="1"/>
    <col min="5" max="10" width="11.28515625" bestFit="1" customWidth="1"/>
    <col min="11" max="14" width="10.140625" bestFit="1" customWidth="1"/>
    <col min="15" max="17" width="11.28515625" bestFit="1" customWidth="1"/>
    <col min="18" max="18" width="10.140625" bestFit="1" customWidth="1"/>
    <col min="19" max="20" width="11.28515625" bestFit="1" customWidth="1"/>
    <col min="21" max="21" width="10.42578125" bestFit="1" customWidth="1"/>
    <col min="22" max="22" width="11.42578125" customWidth="1"/>
    <col min="23" max="23" width="10.140625" style="42" bestFit="1" customWidth="1"/>
    <col min="24" max="24" width="12.28515625" customWidth="1"/>
    <col min="25" max="25" width="13.7109375" customWidth="1"/>
    <col min="26" max="26" width="14.28515625" customWidth="1"/>
    <col min="27" max="27" width="13.5703125" customWidth="1"/>
    <col min="28" max="28" width="12.42578125" customWidth="1"/>
    <col min="29" max="29" width="11.85546875" customWidth="1"/>
    <col min="30" max="30" width="14.42578125" bestFit="1" customWidth="1"/>
    <col min="31" max="32" width="10.42578125" bestFit="1" customWidth="1"/>
  </cols>
  <sheetData>
    <row r="1" spans="1:32" ht="23.25" x14ac:dyDescent="0.25">
      <c r="A1" s="2"/>
      <c r="B1" s="3">
        <v>46082</v>
      </c>
    </row>
    <row r="2" spans="1:32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43">
        <v>46107</v>
      </c>
      <c r="AD2" s="26">
        <v>46108</v>
      </c>
      <c r="AE2" s="26">
        <v>46109</v>
      </c>
      <c r="AF2" s="26">
        <v>46110</v>
      </c>
    </row>
    <row r="3" spans="1:32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  <c r="AD3" s="27"/>
      <c r="AE3" s="27"/>
      <c r="AF3" s="27"/>
    </row>
    <row r="4" spans="1:32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111">
        <v>202967026</v>
      </c>
      <c r="AD4" s="82">
        <v>202967027</v>
      </c>
      <c r="AE4" s="82">
        <v>202967027</v>
      </c>
      <c r="AF4" s="82">
        <v>202967027</v>
      </c>
    </row>
    <row r="5" spans="1:32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111">
        <v>70390562</v>
      </c>
      <c r="AD5" s="82">
        <v>70587280</v>
      </c>
      <c r="AE5" s="82">
        <v>70780870</v>
      </c>
      <c r="AF5" s="82">
        <v>70967853</v>
      </c>
    </row>
    <row r="6" spans="1:32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111">
        <v>87515148</v>
      </c>
      <c r="AD6" s="82">
        <v>87733806</v>
      </c>
      <c r="AE6" s="82">
        <v>87953694</v>
      </c>
      <c r="AF6" s="82">
        <v>88165886</v>
      </c>
    </row>
    <row r="7" spans="1:32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111">
        <v>208782027</v>
      </c>
      <c r="AD7" s="82">
        <v>208964358</v>
      </c>
      <c r="AE7" s="82">
        <v>209149558</v>
      </c>
      <c r="AF7" s="82">
        <v>209332634</v>
      </c>
    </row>
    <row r="8" spans="1:32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111">
        <v>163238833</v>
      </c>
      <c r="AD8" s="82">
        <v>163238848</v>
      </c>
      <c r="AE8" s="82">
        <v>163238866</v>
      </c>
      <c r="AF8" s="82">
        <v>163238885</v>
      </c>
    </row>
    <row r="9" spans="1:32" ht="15.75" x14ac:dyDescent="0.25">
      <c r="A9" s="9" t="s">
        <v>11</v>
      </c>
      <c r="B9" s="9"/>
      <c r="C9" s="68">
        <v>717619330</v>
      </c>
      <c r="D9" s="68">
        <f t="shared" ref="D9:F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ref="G9:T9" si="1">SUM(G4:G8)</f>
        <v>720021355</v>
      </c>
      <c r="H9" s="68">
        <f t="shared" si="1"/>
        <v>720674084</v>
      </c>
      <c r="I9" s="68">
        <f t="shared" si="1"/>
        <v>721230234</v>
      </c>
      <c r="J9" s="68">
        <f t="shared" si="1"/>
        <v>721809744</v>
      </c>
      <c r="K9" s="68">
        <f t="shared" si="1"/>
        <v>722389144</v>
      </c>
      <c r="L9" s="68">
        <f t="shared" si="1"/>
        <v>722978883</v>
      </c>
      <c r="M9" s="68">
        <f t="shared" si="1"/>
        <v>723538471</v>
      </c>
      <c r="N9" s="68">
        <f t="shared" si="1"/>
        <v>724106506</v>
      </c>
      <c r="O9" s="68">
        <f t="shared" si="1"/>
        <v>724702901</v>
      </c>
      <c r="P9" s="68">
        <f t="shared" si="1"/>
        <v>725249949</v>
      </c>
      <c r="Q9" s="68">
        <f t="shared" si="1"/>
        <v>725796972</v>
      </c>
      <c r="R9" s="68">
        <f t="shared" si="1"/>
        <v>726382254</v>
      </c>
      <c r="S9" s="68">
        <f t="shared" si="1"/>
        <v>727000094</v>
      </c>
      <c r="T9" s="68">
        <f t="shared" si="1"/>
        <v>727598491</v>
      </c>
      <c r="U9" s="68">
        <f t="shared" ref="U9" si="2">SUM(U4:U8)</f>
        <v>728214617</v>
      </c>
      <c r="V9" s="68">
        <f t="shared" ref="V9:AF9" si="3">SUM(V4:V8)</f>
        <v>728813475</v>
      </c>
      <c r="W9" s="68">
        <f t="shared" si="3"/>
        <v>729389899</v>
      </c>
      <c r="X9" s="68">
        <f t="shared" si="3"/>
        <v>729944038</v>
      </c>
      <c r="Y9" s="68">
        <f t="shared" si="3"/>
        <v>730634489</v>
      </c>
      <c r="Z9" s="68">
        <f t="shared" si="3"/>
        <v>731125570</v>
      </c>
      <c r="AA9" s="68">
        <f t="shared" si="3"/>
        <v>731725030</v>
      </c>
      <c r="AB9" s="68">
        <f t="shared" si="3"/>
        <v>732321259</v>
      </c>
      <c r="AC9" s="96">
        <f t="shared" si="3"/>
        <v>732893596</v>
      </c>
      <c r="AD9" s="68">
        <f t="shared" si="3"/>
        <v>733491319</v>
      </c>
      <c r="AE9" s="68">
        <f t="shared" si="3"/>
        <v>734090015</v>
      </c>
      <c r="AF9" s="68">
        <f t="shared" si="3"/>
        <v>734672285</v>
      </c>
    </row>
    <row r="10" spans="1:32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46"/>
      <c r="AD10" s="27"/>
      <c r="AE10" s="27"/>
      <c r="AF10" s="27"/>
    </row>
    <row r="11" spans="1:32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111">
        <v>196752472</v>
      </c>
      <c r="AD11" s="82">
        <v>196934764</v>
      </c>
      <c r="AE11" s="82">
        <v>197078887</v>
      </c>
      <c r="AF11" s="82">
        <v>197215106</v>
      </c>
    </row>
    <row r="12" spans="1:32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111">
        <v>154636456</v>
      </c>
      <c r="AD12" s="82">
        <v>154778006</v>
      </c>
      <c r="AE12" s="82">
        <v>154940524</v>
      </c>
      <c r="AF12" s="82">
        <v>155079394</v>
      </c>
    </row>
    <row r="13" spans="1:32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46"/>
      <c r="AD13" s="27"/>
      <c r="AE13" s="27"/>
      <c r="AF13" s="27"/>
    </row>
    <row r="14" spans="1:32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4">
        <v>15034064</v>
      </c>
      <c r="AD14" s="41">
        <v>15045773</v>
      </c>
      <c r="AE14" s="41">
        <v>15056822</v>
      </c>
      <c r="AF14" s="41">
        <v>15067723</v>
      </c>
    </row>
    <row r="15" spans="1:32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4">
        <v>13886747</v>
      </c>
      <c r="AD15" s="41">
        <v>13898572</v>
      </c>
      <c r="AE15" s="41">
        <v>13909686</v>
      </c>
      <c r="AF15" s="41">
        <v>13920669</v>
      </c>
    </row>
    <row r="16" spans="1:32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4">
        <v>4607808</v>
      </c>
      <c r="AD16" s="41">
        <v>4607920</v>
      </c>
      <c r="AE16" s="41">
        <v>4608031</v>
      </c>
      <c r="AF16" s="41">
        <v>4608141</v>
      </c>
    </row>
    <row r="17" spans="1:32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46"/>
      <c r="AD17" s="27"/>
      <c r="AE17" s="27"/>
      <c r="AF17" s="27"/>
    </row>
    <row r="18" spans="1:32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4">
        <v>9596731</v>
      </c>
      <c r="AD18" s="41">
        <v>9607502</v>
      </c>
      <c r="AE18" s="41">
        <v>9618963</v>
      </c>
      <c r="AF18" s="41">
        <v>9630247</v>
      </c>
    </row>
    <row r="19" spans="1:32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4">
        <v>15846486</v>
      </c>
      <c r="AD19" s="41">
        <v>15858961</v>
      </c>
      <c r="AE19" s="41">
        <v>15872353</v>
      </c>
      <c r="AF19" s="41">
        <v>15885540</v>
      </c>
    </row>
    <row r="20" spans="1:32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4">
        <v>5570922</v>
      </c>
      <c r="AD20" s="41">
        <v>5571028</v>
      </c>
      <c r="AE20" s="41">
        <v>5571134</v>
      </c>
      <c r="AF20" s="41">
        <v>5571239</v>
      </c>
    </row>
    <row r="21" spans="1:32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4">
        <v>719125</v>
      </c>
      <c r="AD21" s="41">
        <v>721611</v>
      </c>
      <c r="AE21" s="41">
        <v>722873</v>
      </c>
      <c r="AF21" s="41">
        <v>723645</v>
      </c>
    </row>
    <row r="22" spans="1:32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4">
        <v>746462</v>
      </c>
      <c r="AD22" s="41">
        <v>748975</v>
      </c>
      <c r="AE22" s="41">
        <v>750242</v>
      </c>
      <c r="AF22" s="41">
        <v>751010</v>
      </c>
    </row>
    <row r="23" spans="1:32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46"/>
      <c r="AD23" s="27"/>
      <c r="AE23" s="27"/>
      <c r="AF23" s="27"/>
    </row>
    <row r="24" spans="1:32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4">
        <v>19596810</v>
      </c>
      <c r="AD24" s="41">
        <v>19608920</v>
      </c>
      <c r="AE24" s="41">
        <v>19620612</v>
      </c>
      <c r="AF24" s="41">
        <v>19632154</v>
      </c>
    </row>
    <row r="25" spans="1:32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4">
        <v>17341357</v>
      </c>
      <c r="AD25" s="41">
        <v>17356063</v>
      </c>
      <c r="AE25" s="41">
        <v>17369622</v>
      </c>
      <c r="AF25" s="41">
        <v>17381889</v>
      </c>
    </row>
    <row r="26" spans="1:32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4">
        <v>6274800</v>
      </c>
      <c r="AD26" s="41">
        <v>6279870</v>
      </c>
      <c r="AE26" s="41">
        <v>6285182</v>
      </c>
      <c r="AF26" s="41">
        <v>6289413</v>
      </c>
    </row>
    <row r="27" spans="1:32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4">
        <v>94154149</v>
      </c>
      <c r="AD27" s="41">
        <v>94211992</v>
      </c>
      <c r="AE27" s="41">
        <v>94270042</v>
      </c>
      <c r="AF27" s="41">
        <v>94325974</v>
      </c>
    </row>
    <row r="28" spans="1:32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4">
        <v>5492581</v>
      </c>
      <c r="AD28" s="41">
        <v>5496976</v>
      </c>
      <c r="AE28" s="41">
        <v>5501369</v>
      </c>
      <c r="AF28" s="41">
        <v>5505714</v>
      </c>
    </row>
    <row r="29" spans="1:32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4">
        <v>7473337</v>
      </c>
      <c r="AD29" s="41">
        <v>7558492</v>
      </c>
      <c r="AE29" s="41">
        <v>7638809</v>
      </c>
      <c r="AF29" s="41">
        <v>7717154</v>
      </c>
    </row>
    <row r="30" spans="1:32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4">
        <v>176348733</v>
      </c>
      <c r="AD30" s="41">
        <v>176382218</v>
      </c>
      <c r="AE30" s="41">
        <v>176422494</v>
      </c>
      <c r="AF30" s="41">
        <v>176460708</v>
      </c>
    </row>
    <row r="31" spans="1:32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4">
        <v>3221292</v>
      </c>
      <c r="AD31" s="41">
        <v>3232614</v>
      </c>
      <c r="AE31" s="41">
        <v>3242820</v>
      </c>
      <c r="AF31" s="41">
        <v>3252345</v>
      </c>
    </row>
    <row r="32" spans="1:32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46"/>
      <c r="AD32" s="27"/>
      <c r="AE32" s="27"/>
      <c r="AF32" s="27"/>
    </row>
    <row r="33" spans="1:32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4">
        <v>75820604</v>
      </c>
      <c r="AD33" s="41">
        <v>75820611</v>
      </c>
      <c r="AE33" s="41">
        <v>75820613</v>
      </c>
      <c r="AF33" s="41">
        <v>75820616</v>
      </c>
    </row>
    <row r="34" spans="1:32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4">
        <v>16748836</v>
      </c>
      <c r="AD34" s="41">
        <v>16835395</v>
      </c>
      <c r="AE34" s="41">
        <v>16923508</v>
      </c>
      <c r="AF34" s="41">
        <v>17011802</v>
      </c>
    </row>
    <row r="35" spans="1:32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46"/>
      <c r="AD35" s="27"/>
      <c r="AE35" s="27"/>
      <c r="AF35" s="27"/>
    </row>
    <row r="36" spans="1:32" ht="15.75" x14ac:dyDescent="0.25">
      <c r="A36" s="11" t="s">
        <v>49</v>
      </c>
      <c r="B36" s="11"/>
      <c r="C36" s="69">
        <v>345429375</v>
      </c>
      <c r="D36" s="69">
        <f t="shared" ref="D36" si="4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H36" si="5">SUM(G11:G12)</f>
        <v>346211166</v>
      </c>
      <c r="H36" s="69">
        <f t="shared" si="5"/>
        <v>346386777</v>
      </c>
      <c r="I36" s="69">
        <f t="shared" ref="I36:J36" si="6">SUM(I11:I12)</f>
        <v>346579757</v>
      </c>
      <c r="J36" s="69">
        <f t="shared" si="6"/>
        <v>346811192</v>
      </c>
      <c r="K36" s="69">
        <f t="shared" ref="K36:L36" si="7">SUM(K11:K12)</f>
        <v>347134976</v>
      </c>
      <c r="L36" s="69">
        <f t="shared" si="7"/>
        <v>347369314</v>
      </c>
      <c r="M36" s="69">
        <f t="shared" ref="M36:N36" si="8">SUM(M11:M12)</f>
        <v>347546056</v>
      </c>
      <c r="N36" s="69">
        <f t="shared" si="8"/>
        <v>347706605</v>
      </c>
      <c r="O36" s="69">
        <f t="shared" ref="O36:P36" si="9">SUM(O11:O12)</f>
        <v>347887834</v>
      </c>
      <c r="P36" s="69">
        <f t="shared" si="9"/>
        <v>348112561</v>
      </c>
      <c r="Q36" s="69">
        <f t="shared" ref="Q36:R36" si="10">SUM(Q11:Q12)</f>
        <v>348283609</v>
      </c>
      <c r="R36" s="69">
        <f t="shared" si="10"/>
        <v>348524184</v>
      </c>
      <c r="S36" s="69">
        <f t="shared" ref="S36:T36" si="11">SUM(S11:S12)</f>
        <v>348785779</v>
      </c>
      <c r="T36" s="69">
        <f t="shared" si="11"/>
        <v>349042157</v>
      </c>
      <c r="U36" s="69">
        <f t="shared" ref="U36:V36" si="12">SUM(U11:U12)</f>
        <v>349325792</v>
      </c>
      <c r="V36" s="69">
        <f t="shared" si="12"/>
        <v>349528874</v>
      </c>
      <c r="W36" s="69">
        <f t="shared" ref="W36:X36" si="13">SUM(W11:W12)</f>
        <v>349736897</v>
      </c>
      <c r="X36" s="69">
        <f t="shared" si="13"/>
        <v>349946687</v>
      </c>
      <c r="Y36" s="69">
        <f t="shared" ref="Y36:Z36" si="14">SUM(Y11:Y12)</f>
        <v>350247625</v>
      </c>
      <c r="Z36" s="69">
        <f t="shared" si="14"/>
        <v>350513623</v>
      </c>
      <c r="AA36" s="69">
        <f t="shared" ref="AA36:AB36" si="15">SUM(AA11:AA12)</f>
        <v>350813160</v>
      </c>
      <c r="AB36" s="69">
        <f t="shared" si="15"/>
        <v>351114062</v>
      </c>
      <c r="AC36" s="97">
        <f t="shared" ref="AC36:AD36" si="16">SUM(AC11:AC12)</f>
        <v>351388928</v>
      </c>
      <c r="AD36" s="69">
        <f t="shared" si="16"/>
        <v>351712770</v>
      </c>
      <c r="AE36" s="69">
        <f t="shared" ref="AE36:AF36" si="17">SUM(AE11:AE12)</f>
        <v>352019411</v>
      </c>
      <c r="AF36" s="69">
        <f t="shared" si="17"/>
        <v>352294500</v>
      </c>
    </row>
    <row r="37" spans="1:32" ht="18.75" x14ac:dyDescent="0.25">
      <c r="A37" s="12" t="s">
        <v>50</v>
      </c>
      <c r="B37" s="12"/>
      <c r="C37" s="69">
        <v>90403354</v>
      </c>
      <c r="D37" s="69">
        <f t="shared" ref="D37" si="18">D33+D34</f>
        <v>90494961</v>
      </c>
      <c r="E37" s="69">
        <f>E33+E34</f>
        <v>90575928</v>
      </c>
      <c r="F37" s="69">
        <f>F33+F34</f>
        <v>90669046</v>
      </c>
      <c r="G37" s="69">
        <f t="shared" ref="G37:H37" si="19">G33+G34</f>
        <v>90761570</v>
      </c>
      <c r="H37" s="69">
        <f t="shared" si="19"/>
        <v>90861594</v>
      </c>
      <c r="I37" s="69">
        <f t="shared" ref="I37:J37" si="20">I33+I34</f>
        <v>90942137</v>
      </c>
      <c r="J37" s="69">
        <f t="shared" si="20"/>
        <v>91029325</v>
      </c>
      <c r="K37" s="69">
        <f t="shared" ref="K37:L37" si="21">K33+K34</f>
        <v>91115462</v>
      </c>
      <c r="L37" s="69">
        <f t="shared" si="21"/>
        <v>91194008</v>
      </c>
      <c r="M37" s="69">
        <f t="shared" ref="M37:N37" si="22">M33+M34</f>
        <v>91273187</v>
      </c>
      <c r="N37" s="69">
        <f t="shared" si="22"/>
        <v>91357178</v>
      </c>
      <c r="O37" s="69">
        <f t="shared" ref="O37:P37" si="23">O33+O34</f>
        <v>91436646</v>
      </c>
      <c r="P37" s="69">
        <f t="shared" si="23"/>
        <v>91510482</v>
      </c>
      <c r="Q37" s="69">
        <f t="shared" ref="Q37:R37" si="24">Q33+Q34</f>
        <v>91591754</v>
      </c>
      <c r="R37" s="69">
        <f t="shared" si="24"/>
        <v>91675547</v>
      </c>
      <c r="S37" s="69">
        <f t="shared" ref="S37:T37" si="25">S33+S34</f>
        <v>91758837</v>
      </c>
      <c r="T37" s="69">
        <f t="shared" si="25"/>
        <v>91839852</v>
      </c>
      <c r="U37" s="69">
        <f t="shared" ref="U37:V37" si="26">U33+U34</f>
        <v>91923638</v>
      </c>
      <c r="V37" s="69">
        <f t="shared" si="26"/>
        <v>92003901</v>
      </c>
      <c r="W37" s="69">
        <f t="shared" ref="W37:X37" si="27">W33+W34</f>
        <v>92075932</v>
      </c>
      <c r="X37" s="69">
        <f t="shared" si="27"/>
        <v>92148933</v>
      </c>
      <c r="Y37" s="69">
        <f t="shared" ref="Y37:Z37" si="28">Y33+Y34</f>
        <v>92246427</v>
      </c>
      <c r="Z37" s="69">
        <f t="shared" si="28"/>
        <v>92309699</v>
      </c>
      <c r="AA37" s="69">
        <f t="shared" ref="AA37:AB37" si="29">AA33+AA34</f>
        <v>92395048</v>
      </c>
      <c r="AB37" s="69">
        <f t="shared" si="29"/>
        <v>92479645</v>
      </c>
      <c r="AC37" s="97">
        <f t="shared" ref="AC37:AD37" si="30">AC33+AC34</f>
        <v>92569440</v>
      </c>
      <c r="AD37" s="69">
        <f t="shared" si="30"/>
        <v>92656006</v>
      </c>
      <c r="AE37" s="69">
        <f t="shared" ref="AE37:AF37" si="31">AE33+AE34</f>
        <v>92744121</v>
      </c>
      <c r="AF37" s="69">
        <f t="shared" si="31"/>
        <v>92832418</v>
      </c>
    </row>
    <row r="38" spans="1:32" ht="18.75" x14ac:dyDescent="0.25">
      <c r="A38" s="13" t="s">
        <v>51</v>
      </c>
      <c r="B38" s="13"/>
      <c r="C38" s="69">
        <v>67776379</v>
      </c>
      <c r="D38" s="69">
        <f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H38" si="32">SUM(G14,G15,G16,G18,G19,G20,G21,G22,G31)</f>
        <v>67997957</v>
      </c>
      <c r="H38" s="69">
        <f t="shared" si="32"/>
        <v>68052383</v>
      </c>
      <c r="I38" s="69">
        <f t="shared" ref="I38:J38" si="33">SUM(I14,I15,I16,I18,I19,I20,I21,I22,I31)</f>
        <v>68098509</v>
      </c>
      <c r="J38" s="69">
        <f t="shared" si="33"/>
        <v>68147193</v>
      </c>
      <c r="K38" s="69">
        <f t="shared" ref="K38:L38" si="34">SUM(K14,K15,K16,K18,K19,K20,K21,K22,K31)</f>
        <v>68194318</v>
      </c>
      <c r="L38" s="69">
        <f t="shared" si="34"/>
        <v>68250134</v>
      </c>
      <c r="M38" s="69">
        <f t="shared" ref="M38:N38" si="35">SUM(M14,M15,M16,M18,M19,M20,M21,M22,M31)</f>
        <v>68302695</v>
      </c>
      <c r="N38" s="69">
        <f t="shared" si="35"/>
        <v>68354653</v>
      </c>
      <c r="O38" s="69">
        <f t="shared" ref="O38:P38" si="36">SUM(O14,O15,O16,O18,O19,O20,O21,O22,O31)</f>
        <v>68413946</v>
      </c>
      <c r="P38" s="69">
        <f t="shared" si="36"/>
        <v>68470023</v>
      </c>
      <c r="Q38" s="69">
        <f t="shared" ref="Q38:R38" si="37">SUM(Q14,Q15,Q16,Q18,Q19,Q20,Q21,Q22,Q31)</f>
        <v>68525686</v>
      </c>
      <c r="R38" s="69">
        <f t="shared" si="37"/>
        <v>68584782</v>
      </c>
      <c r="S38" s="69">
        <f t="shared" ref="S38:T38" si="38">SUM(S14,S15,S16,S18,S19,S20,S21,S22,S31)</f>
        <v>68647974</v>
      </c>
      <c r="T38" s="69">
        <f t="shared" si="38"/>
        <v>68707667</v>
      </c>
      <c r="U38" s="69">
        <f t="shared" ref="U38:V38" si="39">SUM(U14,U15,U16,U18,U19,U20,U21,U22,U31)</f>
        <v>68769927</v>
      </c>
      <c r="V38" s="69">
        <f t="shared" si="39"/>
        <v>68828491</v>
      </c>
      <c r="W38" s="69">
        <f t="shared" ref="W38:X38" si="40">SUM(W14,W15,W16,W18,W19,W20,W21,W22,W31)</f>
        <v>68884086</v>
      </c>
      <c r="X38" s="69">
        <f t="shared" si="40"/>
        <v>68942830</v>
      </c>
      <c r="Y38" s="69">
        <f t="shared" ref="Y38" si="41">SUM(Y14,Y15,Y16,Y18,Y19,Y20,Y21,Y22,Y31)</f>
        <v>69012647</v>
      </c>
      <c r="Z38" s="69">
        <f t="shared" ref="Z38:AE38" si="42">SUM(Z14,Z15,Z16,Z18,Z19,Z20,Z21,Z22,Z31)</f>
        <v>69060251</v>
      </c>
      <c r="AA38" s="69">
        <f t="shared" si="42"/>
        <v>69119366</v>
      </c>
      <c r="AB38" s="69">
        <f t="shared" si="42"/>
        <v>69177489</v>
      </c>
      <c r="AC38" s="97">
        <f t="shared" si="42"/>
        <v>69229637</v>
      </c>
      <c r="AD38" s="69">
        <f t="shared" si="42"/>
        <v>69292956</v>
      </c>
      <c r="AE38" s="69">
        <f t="shared" si="42"/>
        <v>69352924</v>
      </c>
      <c r="AF38" s="69">
        <f t="shared" ref="AF38" si="43">SUM(AF14,AF15,AF16,AF18,AF19,AF20,AF21,AF22,AF31)</f>
        <v>69410559</v>
      </c>
    </row>
    <row r="39" spans="1:32" ht="18.75" x14ac:dyDescent="0.25">
      <c r="A39" s="14" t="s">
        <v>52</v>
      </c>
      <c r="B39" s="14"/>
      <c r="C39" s="69">
        <v>559439597</v>
      </c>
      <c r="D39" s="69">
        <f>D9-D37-D38</f>
        <v>559928510</v>
      </c>
      <c r="E39" s="69">
        <f t="shared" ref="E39:K39" si="44">E9-E37-E38</f>
        <v>560348239</v>
      </c>
      <c r="F39" s="69">
        <f t="shared" si="44"/>
        <v>560799080</v>
      </c>
      <c r="G39" s="69">
        <f t="shared" si="44"/>
        <v>561261828</v>
      </c>
      <c r="H39" s="69">
        <f t="shared" si="44"/>
        <v>561760107</v>
      </c>
      <c r="I39" s="69">
        <f t="shared" si="44"/>
        <v>562189588</v>
      </c>
      <c r="J39" s="69">
        <f t="shared" si="44"/>
        <v>562633226</v>
      </c>
      <c r="K39" s="69">
        <f t="shared" si="44"/>
        <v>563079364</v>
      </c>
      <c r="L39" s="69">
        <f t="shared" ref="L39:M39" si="45">L9-L37-L38</f>
        <v>563534741</v>
      </c>
      <c r="M39" s="69">
        <f t="shared" si="45"/>
        <v>563962589</v>
      </c>
      <c r="N39" s="69">
        <f t="shared" ref="N39:O39" si="46">N9-N37-N38</f>
        <v>564394675</v>
      </c>
      <c r="O39" s="69">
        <f t="shared" si="46"/>
        <v>564852309</v>
      </c>
      <c r="P39" s="69">
        <f t="shared" ref="P39:Q39" si="47">P9-P37-P38</f>
        <v>565269444</v>
      </c>
      <c r="Q39" s="69">
        <f t="shared" si="47"/>
        <v>565679532</v>
      </c>
      <c r="R39" s="69">
        <f t="shared" ref="R39:S39" si="48">R9-R37-R38</f>
        <v>566121925</v>
      </c>
      <c r="S39" s="69">
        <f t="shared" si="48"/>
        <v>566593283</v>
      </c>
      <c r="T39" s="69">
        <f t="shared" ref="T39:U39" si="49">T9-T37-T38</f>
        <v>567050972</v>
      </c>
      <c r="U39" s="69">
        <f t="shared" si="49"/>
        <v>567521052</v>
      </c>
      <c r="V39" s="69">
        <f t="shared" ref="V39:AB39" si="50">V9-V37-V38</f>
        <v>567981083</v>
      </c>
      <c r="W39" s="69">
        <f t="shared" si="50"/>
        <v>568429881</v>
      </c>
      <c r="X39" s="69">
        <f t="shared" si="50"/>
        <v>568852275</v>
      </c>
      <c r="Y39" s="69">
        <f t="shared" si="50"/>
        <v>569375415</v>
      </c>
      <c r="Z39" s="69">
        <f t="shared" si="50"/>
        <v>569755620</v>
      </c>
      <c r="AA39" s="69">
        <f t="shared" si="50"/>
        <v>570210616</v>
      </c>
      <c r="AB39" s="69">
        <f t="shared" si="50"/>
        <v>570664125</v>
      </c>
      <c r="AC39" s="97">
        <f t="shared" ref="AC39:AD39" si="51">AC9-AC37-AC38</f>
        <v>571094519</v>
      </c>
      <c r="AD39" s="69">
        <f t="shared" si="51"/>
        <v>571542357</v>
      </c>
      <c r="AE39" s="69">
        <f t="shared" ref="AE39:AF39" si="52">AE9-AE37-AE38</f>
        <v>571992970</v>
      </c>
      <c r="AF39" s="69">
        <f t="shared" si="52"/>
        <v>572429308</v>
      </c>
    </row>
    <row r="40" spans="1:32" ht="18.75" x14ac:dyDescent="0.25">
      <c r="A40" s="14" t="s">
        <v>82</v>
      </c>
      <c r="B40" s="14"/>
      <c r="C40" s="70">
        <v>180728557</v>
      </c>
      <c r="D40" s="70">
        <f>D29+D30</f>
        <v>180856483</v>
      </c>
      <c r="E40" s="70">
        <f>E29+E30</f>
        <v>180963768</v>
      </c>
      <c r="F40" s="70">
        <f>F29+F30</f>
        <v>181083827</v>
      </c>
      <c r="G40" s="70">
        <f t="shared" ref="G40:H40" si="53">G29+G30</f>
        <v>181211752</v>
      </c>
      <c r="H40" s="70">
        <f t="shared" si="53"/>
        <v>181343693</v>
      </c>
      <c r="I40" s="70">
        <f t="shared" ref="I40:J40" si="54">I29+I30</f>
        <v>181457606</v>
      </c>
      <c r="J40" s="70">
        <f t="shared" si="54"/>
        <v>181572937</v>
      </c>
      <c r="K40" s="70">
        <f t="shared" ref="K40:L40" si="55">K29+K30</f>
        <v>181690899</v>
      </c>
      <c r="L40" s="70">
        <f t="shared" si="55"/>
        <v>181812513</v>
      </c>
      <c r="M40" s="70">
        <f t="shared" ref="M40:N40" si="56">M29+M30</f>
        <v>181926031</v>
      </c>
      <c r="N40" s="70">
        <f t="shared" si="56"/>
        <v>182047129</v>
      </c>
      <c r="O40" s="70">
        <f t="shared" ref="O40:P40" si="57">O29+O30</f>
        <v>182168024</v>
      </c>
      <c r="P40" s="70">
        <f t="shared" si="57"/>
        <v>182280669</v>
      </c>
      <c r="Q40" s="70">
        <f t="shared" ref="Q40:R40" si="58">Q29+Q30</f>
        <v>182396412</v>
      </c>
      <c r="R40" s="70">
        <f t="shared" si="58"/>
        <v>182514038</v>
      </c>
      <c r="S40" s="70">
        <f t="shared" ref="S40:U40" si="59">S29+S30</f>
        <v>182639847</v>
      </c>
      <c r="T40" s="70">
        <f t="shared" si="59"/>
        <v>182762898</v>
      </c>
      <c r="U40" s="70">
        <f t="shared" si="59"/>
        <v>182888398</v>
      </c>
      <c r="V40" s="70">
        <f t="shared" ref="V40:W40" si="60">V29+V30</f>
        <v>183004127</v>
      </c>
      <c r="W40" s="70">
        <f t="shared" si="60"/>
        <v>183119891</v>
      </c>
      <c r="X40" s="70">
        <f t="shared" ref="X40:Y40" si="61">X29+X30</f>
        <v>183230744</v>
      </c>
      <c r="Y40" s="70">
        <f t="shared" si="61"/>
        <v>183367692</v>
      </c>
      <c r="Z40" s="70">
        <f t="shared" ref="Z40:AA40" si="62">Z29+Z30</f>
        <v>183467430</v>
      </c>
      <c r="AA40" s="70">
        <f t="shared" si="62"/>
        <v>183586117</v>
      </c>
      <c r="AB40" s="70">
        <f t="shared" ref="AB40:AC40" si="63">AB29+AB30</f>
        <v>183703049</v>
      </c>
      <c r="AC40" s="98">
        <f t="shared" si="63"/>
        <v>183822070</v>
      </c>
      <c r="AD40" s="70">
        <f t="shared" ref="AD40:AE40" si="64">AD29+AD30</f>
        <v>183940710</v>
      </c>
      <c r="AE40" s="70">
        <f t="shared" si="64"/>
        <v>184061303</v>
      </c>
      <c r="AF40" s="70">
        <f t="shared" ref="AF40" si="65">AF29+AF30</f>
        <v>184177862</v>
      </c>
    </row>
    <row r="41" spans="1:32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47"/>
      <c r="AD41" s="39"/>
      <c r="AE41" s="27"/>
      <c r="AF41" s="27"/>
    </row>
    <row r="42" spans="1:32" ht="18.75" x14ac:dyDescent="0.25">
      <c r="A42" s="15" t="s">
        <v>53</v>
      </c>
      <c r="B42" s="15"/>
      <c r="C42" s="71">
        <v>73930</v>
      </c>
      <c r="D42" s="71">
        <f t="shared" ref="D42" si="66">D37-C37</f>
        <v>91607</v>
      </c>
      <c r="E42" s="71">
        <f>E37-D37</f>
        <v>80967</v>
      </c>
      <c r="F42" s="71">
        <f>F37-E37</f>
        <v>93118</v>
      </c>
      <c r="G42" s="71">
        <f t="shared" ref="G42:AC42" si="67">G37-F37</f>
        <v>92524</v>
      </c>
      <c r="H42" s="71">
        <f t="shared" si="67"/>
        <v>100024</v>
      </c>
      <c r="I42" s="71">
        <f t="shared" si="67"/>
        <v>80543</v>
      </c>
      <c r="J42" s="71">
        <f t="shared" si="67"/>
        <v>87188</v>
      </c>
      <c r="K42" s="71">
        <f t="shared" si="67"/>
        <v>86137</v>
      </c>
      <c r="L42" s="71">
        <f t="shared" si="67"/>
        <v>78546</v>
      </c>
      <c r="M42" s="71">
        <f t="shared" si="67"/>
        <v>79179</v>
      </c>
      <c r="N42" s="71">
        <f t="shared" si="67"/>
        <v>83991</v>
      </c>
      <c r="O42" s="71">
        <f t="shared" si="67"/>
        <v>79468</v>
      </c>
      <c r="P42" s="71">
        <f t="shared" si="67"/>
        <v>73836</v>
      </c>
      <c r="Q42" s="71">
        <f t="shared" si="67"/>
        <v>81272</v>
      </c>
      <c r="R42" s="71">
        <f t="shared" si="67"/>
        <v>83793</v>
      </c>
      <c r="S42" s="71">
        <f t="shared" si="67"/>
        <v>83290</v>
      </c>
      <c r="T42" s="71">
        <f t="shared" si="67"/>
        <v>81015</v>
      </c>
      <c r="U42" s="71">
        <f t="shared" si="67"/>
        <v>83786</v>
      </c>
      <c r="V42" s="71">
        <f t="shared" si="67"/>
        <v>80263</v>
      </c>
      <c r="W42" s="71">
        <f t="shared" si="67"/>
        <v>72031</v>
      </c>
      <c r="X42" s="71">
        <f t="shared" si="67"/>
        <v>73001</v>
      </c>
      <c r="Y42" s="71">
        <f t="shared" si="67"/>
        <v>97494</v>
      </c>
      <c r="Z42" s="71">
        <f t="shared" si="67"/>
        <v>63272</v>
      </c>
      <c r="AA42" s="71">
        <f t="shared" si="67"/>
        <v>85349</v>
      </c>
      <c r="AB42" s="71">
        <f t="shared" si="67"/>
        <v>84597</v>
      </c>
      <c r="AC42" s="99">
        <f t="shared" si="67"/>
        <v>89795</v>
      </c>
      <c r="AD42" s="71">
        <f>AD37-AC37</f>
        <v>86566</v>
      </c>
      <c r="AE42" s="71">
        <f>AE37-AD37</f>
        <v>88115</v>
      </c>
      <c r="AF42" s="71">
        <f>AF37-AE37</f>
        <v>88297</v>
      </c>
    </row>
    <row r="43" spans="1:32" ht="18.75" x14ac:dyDescent="0.25">
      <c r="A43" s="16" t="s">
        <v>55</v>
      </c>
      <c r="B43" s="16"/>
      <c r="C43" s="72">
        <v>121626</v>
      </c>
      <c r="D43" s="72">
        <f t="shared" ref="D43" si="68">D40-C40</f>
        <v>127926</v>
      </c>
      <c r="E43" s="72">
        <f>E40-D40</f>
        <v>107285</v>
      </c>
      <c r="F43" s="72">
        <f>F40-E40</f>
        <v>120059</v>
      </c>
      <c r="G43" s="72">
        <f t="shared" ref="G43:AD43" si="69">G40-F40</f>
        <v>127925</v>
      </c>
      <c r="H43" s="72">
        <f t="shared" si="69"/>
        <v>131941</v>
      </c>
      <c r="I43" s="72">
        <f t="shared" si="69"/>
        <v>113913</v>
      </c>
      <c r="J43" s="72">
        <f t="shared" si="69"/>
        <v>115331</v>
      </c>
      <c r="K43" s="72">
        <f t="shared" si="69"/>
        <v>117962</v>
      </c>
      <c r="L43" s="72">
        <f t="shared" si="69"/>
        <v>121614</v>
      </c>
      <c r="M43" s="72">
        <f t="shared" si="69"/>
        <v>113518</v>
      </c>
      <c r="N43" s="72">
        <f t="shared" si="69"/>
        <v>121098</v>
      </c>
      <c r="O43" s="72">
        <f t="shared" si="69"/>
        <v>120895</v>
      </c>
      <c r="P43" s="72">
        <f t="shared" si="69"/>
        <v>112645</v>
      </c>
      <c r="Q43" s="72">
        <f t="shared" si="69"/>
        <v>115743</v>
      </c>
      <c r="R43" s="72">
        <f t="shared" si="69"/>
        <v>117626</v>
      </c>
      <c r="S43" s="72">
        <f t="shared" si="69"/>
        <v>125809</v>
      </c>
      <c r="T43" s="72">
        <f t="shared" si="69"/>
        <v>123051</v>
      </c>
      <c r="U43" s="72">
        <f t="shared" si="69"/>
        <v>125500</v>
      </c>
      <c r="V43" s="72">
        <f t="shared" si="69"/>
        <v>115729</v>
      </c>
      <c r="W43" s="72">
        <f t="shared" si="69"/>
        <v>115764</v>
      </c>
      <c r="X43" s="72">
        <f t="shared" si="69"/>
        <v>110853</v>
      </c>
      <c r="Y43" s="72">
        <f t="shared" si="69"/>
        <v>136948</v>
      </c>
      <c r="Z43" s="72">
        <f t="shared" si="69"/>
        <v>99738</v>
      </c>
      <c r="AA43" s="72">
        <f t="shared" si="69"/>
        <v>118687</v>
      </c>
      <c r="AB43" s="72">
        <f t="shared" si="69"/>
        <v>116932</v>
      </c>
      <c r="AC43" s="100">
        <f t="shared" si="69"/>
        <v>119021</v>
      </c>
      <c r="AD43" s="72">
        <f t="shared" si="69"/>
        <v>118640</v>
      </c>
      <c r="AE43" s="72">
        <f>AE40-AD40</f>
        <v>120593</v>
      </c>
      <c r="AF43" s="72">
        <f>AF40-AE40</f>
        <v>116559</v>
      </c>
    </row>
    <row r="44" spans="1:32" ht="18.75" x14ac:dyDescent="0.25">
      <c r="A44" s="18" t="s">
        <v>57</v>
      </c>
      <c r="B44" s="18"/>
      <c r="C44" s="73">
        <v>138270.90000000002</v>
      </c>
      <c r="D44" s="73">
        <f t="shared" ref="D44" si="70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:Y44" si="71">(G38-F38)+G43*0.65</f>
        <v>131604.25</v>
      </c>
      <c r="H44" s="73">
        <f t="shared" si="71"/>
        <v>140187.65000000002</v>
      </c>
      <c r="I44" s="73">
        <f t="shared" si="71"/>
        <v>120169.45</v>
      </c>
      <c r="J44" s="73">
        <f t="shared" si="71"/>
        <v>123649.15000000001</v>
      </c>
      <c r="K44" s="73">
        <f t="shared" si="71"/>
        <v>123800.3</v>
      </c>
      <c r="L44" s="73">
        <f t="shared" si="71"/>
        <v>134865.1</v>
      </c>
      <c r="M44" s="73">
        <f t="shared" si="71"/>
        <v>126347.7</v>
      </c>
      <c r="N44" s="73">
        <f t="shared" si="71"/>
        <v>130671.7</v>
      </c>
      <c r="O44" s="73">
        <f t="shared" si="71"/>
        <v>137874.75</v>
      </c>
      <c r="P44" s="73">
        <f t="shared" si="71"/>
        <v>129296.25</v>
      </c>
      <c r="Q44" s="73">
        <f t="shared" si="71"/>
        <v>130895.95</v>
      </c>
      <c r="R44" s="73">
        <f t="shared" si="71"/>
        <v>135552.90000000002</v>
      </c>
      <c r="S44" s="73">
        <f t="shared" si="71"/>
        <v>144967.85</v>
      </c>
      <c r="T44" s="73">
        <f t="shared" si="71"/>
        <v>139676.15000000002</v>
      </c>
      <c r="U44" s="73">
        <f t="shared" si="71"/>
        <v>143835</v>
      </c>
      <c r="V44" s="73">
        <f t="shared" si="71"/>
        <v>133787.85</v>
      </c>
      <c r="W44" s="73">
        <f t="shared" si="71"/>
        <v>130841.60000000001</v>
      </c>
      <c r="X44" s="73">
        <f t="shared" si="71"/>
        <v>130798.45</v>
      </c>
      <c r="Y44" s="73">
        <f t="shared" si="71"/>
        <v>158833.20000000001</v>
      </c>
      <c r="Z44" s="73">
        <f t="shared" ref="Z44:AE44" si="72">(Z38-Y38)+Z43*0.65</f>
        <v>112433.70000000001</v>
      </c>
      <c r="AA44" s="73">
        <f t="shared" si="72"/>
        <v>136261.54999999999</v>
      </c>
      <c r="AB44" s="73">
        <f t="shared" si="72"/>
        <v>134128.79999999999</v>
      </c>
      <c r="AC44" s="101">
        <f t="shared" si="72"/>
        <v>129511.65000000001</v>
      </c>
      <c r="AD44" s="73">
        <f t="shared" si="72"/>
        <v>140435</v>
      </c>
      <c r="AE44" s="73">
        <f t="shared" si="72"/>
        <v>138353.45000000001</v>
      </c>
      <c r="AF44" s="73">
        <f>(AF38-AE38)+AF43*0.65</f>
        <v>133398.35</v>
      </c>
    </row>
    <row r="45" spans="1:32" ht="18.75" x14ac:dyDescent="0.25">
      <c r="A45" s="19" t="s">
        <v>59</v>
      </c>
      <c r="B45" s="19"/>
      <c r="C45" s="74">
        <v>305687.09999999998</v>
      </c>
      <c r="D45" s="74">
        <f t="shared" ref="D45" si="73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:AE45" si="74">G39-F39-0.65*G43-G42</f>
        <v>287072.75</v>
      </c>
      <c r="H45" s="74">
        <f t="shared" si="74"/>
        <v>312493.34999999998</v>
      </c>
      <c r="I45" s="74">
        <f t="shared" si="74"/>
        <v>274894.55</v>
      </c>
      <c r="J45" s="74">
        <f t="shared" si="74"/>
        <v>281484.84999999998</v>
      </c>
      <c r="K45" s="74">
        <f t="shared" si="74"/>
        <v>283325.7</v>
      </c>
      <c r="L45" s="74">
        <f t="shared" si="74"/>
        <v>297781.90000000002</v>
      </c>
      <c r="M45" s="74">
        <f t="shared" si="74"/>
        <v>274882.3</v>
      </c>
      <c r="N45" s="74">
        <f t="shared" si="74"/>
        <v>269381.3</v>
      </c>
      <c r="O45" s="74">
        <f t="shared" si="74"/>
        <v>299584.25</v>
      </c>
      <c r="P45" s="74">
        <f t="shared" si="74"/>
        <v>270079.75</v>
      </c>
      <c r="Q45" s="74">
        <f t="shared" si="74"/>
        <v>253583.05</v>
      </c>
      <c r="R45" s="74">
        <f t="shared" si="74"/>
        <v>282143.09999999998</v>
      </c>
      <c r="S45" s="74">
        <f t="shared" si="74"/>
        <v>306292.15000000002</v>
      </c>
      <c r="T45" s="74">
        <f t="shared" si="74"/>
        <v>296690.84999999998</v>
      </c>
      <c r="U45" s="74">
        <f t="shared" si="74"/>
        <v>304719</v>
      </c>
      <c r="V45" s="74">
        <f t="shared" si="74"/>
        <v>304544.15000000002</v>
      </c>
      <c r="W45" s="74">
        <f t="shared" si="74"/>
        <v>301520.40000000002</v>
      </c>
      <c r="X45" s="74">
        <f t="shared" si="74"/>
        <v>277338.55</v>
      </c>
      <c r="Y45" s="74">
        <f t="shared" si="74"/>
        <v>336629.8</v>
      </c>
      <c r="Z45" s="74">
        <f t="shared" si="74"/>
        <v>252103.3</v>
      </c>
      <c r="AA45" s="74">
        <f t="shared" si="74"/>
        <v>292500.45</v>
      </c>
      <c r="AB45" s="74">
        <f t="shared" si="74"/>
        <v>292906.2</v>
      </c>
      <c r="AC45" s="102">
        <f t="shared" si="74"/>
        <v>263235.34999999998</v>
      </c>
      <c r="AD45" s="74">
        <f t="shared" si="74"/>
        <v>284156</v>
      </c>
      <c r="AE45" s="74">
        <f t="shared" si="74"/>
        <v>284112.55</v>
      </c>
      <c r="AF45" s="74">
        <f>AF39-AE39-0.65*AF43-AF42</f>
        <v>272277.65000000002</v>
      </c>
    </row>
    <row r="46" spans="1:32" ht="18.75" x14ac:dyDescent="0.25">
      <c r="A46" s="20" t="s">
        <v>61</v>
      </c>
      <c r="B46" s="20"/>
      <c r="C46" s="75">
        <v>206175</v>
      </c>
      <c r="D46" s="75">
        <f t="shared" ref="D46" si="75">D36-C36</f>
        <v>173384</v>
      </c>
      <c r="E46" s="75">
        <f>E36-D36</f>
        <v>153220</v>
      </c>
      <c r="F46" s="75">
        <f>F36-E36</f>
        <v>217445</v>
      </c>
      <c r="G46" s="75">
        <f t="shared" ref="G46:AF46" si="76">G36-F36</f>
        <v>237742</v>
      </c>
      <c r="H46" s="75">
        <f t="shared" si="76"/>
        <v>175611</v>
      </c>
      <c r="I46" s="75">
        <f t="shared" si="76"/>
        <v>192980</v>
      </c>
      <c r="J46" s="75">
        <f t="shared" si="76"/>
        <v>231435</v>
      </c>
      <c r="K46" s="75">
        <f t="shared" si="76"/>
        <v>323784</v>
      </c>
      <c r="L46" s="75">
        <f t="shared" si="76"/>
        <v>234338</v>
      </c>
      <c r="M46" s="75">
        <f t="shared" si="76"/>
        <v>176742</v>
      </c>
      <c r="N46" s="75">
        <f t="shared" si="76"/>
        <v>160549</v>
      </c>
      <c r="O46" s="75">
        <f t="shared" si="76"/>
        <v>181229</v>
      </c>
      <c r="P46" s="75">
        <f t="shared" si="76"/>
        <v>224727</v>
      </c>
      <c r="Q46" s="75">
        <f t="shared" si="76"/>
        <v>171048</v>
      </c>
      <c r="R46" s="75">
        <f t="shared" si="76"/>
        <v>240575</v>
      </c>
      <c r="S46" s="75">
        <f t="shared" si="76"/>
        <v>261595</v>
      </c>
      <c r="T46" s="75">
        <f t="shared" si="76"/>
        <v>256378</v>
      </c>
      <c r="U46" s="75">
        <f t="shared" si="76"/>
        <v>283635</v>
      </c>
      <c r="V46" s="75">
        <f t="shared" si="76"/>
        <v>203082</v>
      </c>
      <c r="W46" s="75">
        <f t="shared" si="76"/>
        <v>208023</v>
      </c>
      <c r="X46" s="75">
        <f t="shared" si="76"/>
        <v>209790</v>
      </c>
      <c r="Y46" s="75">
        <f t="shared" si="76"/>
        <v>300938</v>
      </c>
      <c r="Z46" s="75">
        <f t="shared" si="76"/>
        <v>265998</v>
      </c>
      <c r="AA46" s="75">
        <f t="shared" si="76"/>
        <v>299537</v>
      </c>
      <c r="AB46" s="75">
        <f t="shared" si="76"/>
        <v>300902</v>
      </c>
      <c r="AC46" s="103">
        <f t="shared" si="76"/>
        <v>274866</v>
      </c>
      <c r="AD46" s="75">
        <f t="shared" si="76"/>
        <v>323842</v>
      </c>
      <c r="AE46" s="75">
        <f t="shared" si="76"/>
        <v>306641</v>
      </c>
      <c r="AF46" s="75">
        <f t="shared" si="76"/>
        <v>275089</v>
      </c>
    </row>
    <row r="47" spans="1:32" ht="18.75" x14ac:dyDescent="0.25">
      <c r="A47" s="21" t="s">
        <v>63</v>
      </c>
      <c r="B47" s="21"/>
      <c r="C47" s="76">
        <v>650133</v>
      </c>
      <c r="D47" s="76">
        <f t="shared" ref="D47:E47" si="77">D44+D45+D46</f>
        <v>633826</v>
      </c>
      <c r="E47" s="76">
        <f t="shared" si="77"/>
        <v>545343</v>
      </c>
      <c r="F47" s="76">
        <f t="shared" ref="F47:G47" si="78">F44+F45+F46</f>
        <v>631796</v>
      </c>
      <c r="G47" s="76">
        <f t="shared" si="78"/>
        <v>656419</v>
      </c>
      <c r="H47" s="76">
        <f t="shared" ref="H47:I47" si="79">H44+H45+H46</f>
        <v>628292</v>
      </c>
      <c r="I47" s="76">
        <f t="shared" si="79"/>
        <v>588044</v>
      </c>
      <c r="J47" s="76">
        <f t="shared" ref="J47:K47" si="80">J44+J45+J46</f>
        <v>636569</v>
      </c>
      <c r="K47" s="76">
        <f t="shared" si="80"/>
        <v>730910</v>
      </c>
      <c r="L47" s="76">
        <f t="shared" ref="L47:M47" si="81">L44+L45+L46</f>
        <v>666985</v>
      </c>
      <c r="M47" s="76">
        <f t="shared" si="81"/>
        <v>577972</v>
      </c>
      <c r="N47" s="76">
        <f t="shared" ref="N47:O47" si="82">N44+N45+N46</f>
        <v>560602</v>
      </c>
      <c r="O47" s="76">
        <f t="shared" si="82"/>
        <v>618688</v>
      </c>
      <c r="P47" s="76">
        <f t="shared" ref="P47" si="83">P44+P45+P46</f>
        <v>624103</v>
      </c>
      <c r="Q47" s="76">
        <f t="shared" ref="Q47:R47" si="84">Q44+Q45+Q46</f>
        <v>555527</v>
      </c>
      <c r="R47" s="76">
        <f t="shared" si="84"/>
        <v>658271</v>
      </c>
      <c r="S47" s="76">
        <f t="shared" ref="S47:T47" si="85">S44+S45+S46</f>
        <v>712855</v>
      </c>
      <c r="T47" s="76">
        <f t="shared" si="85"/>
        <v>692745</v>
      </c>
      <c r="U47" s="76">
        <f t="shared" ref="U47:V47" si="86">U44+U45+U46</f>
        <v>732189</v>
      </c>
      <c r="V47" s="76">
        <f t="shared" si="86"/>
        <v>641414</v>
      </c>
      <c r="W47" s="76">
        <f t="shared" ref="W47:X47" si="87">W44+W45+W46</f>
        <v>640385</v>
      </c>
      <c r="X47" s="76">
        <f t="shared" si="87"/>
        <v>617927</v>
      </c>
      <c r="Y47" s="76">
        <f t="shared" ref="Y47:Z47" si="88">Y44+Y45+Y46</f>
        <v>796401</v>
      </c>
      <c r="Z47" s="76">
        <f t="shared" si="88"/>
        <v>630535</v>
      </c>
      <c r="AA47" s="76">
        <f t="shared" ref="AA47:AB47" si="89">AA44+AA45+AA46</f>
        <v>728299</v>
      </c>
      <c r="AB47" s="76">
        <f t="shared" si="89"/>
        <v>727937</v>
      </c>
      <c r="AC47" s="104">
        <f t="shared" ref="AC47:AD47" si="90">AC44+AC45+AC46</f>
        <v>667613</v>
      </c>
      <c r="AD47" s="76">
        <f t="shared" si="90"/>
        <v>748433</v>
      </c>
      <c r="AE47" s="76">
        <f t="shared" ref="AE47" si="91">AE44+AE45+AE46</f>
        <v>729107</v>
      </c>
      <c r="AF47" s="76">
        <f>AF44+AF45+AF46</f>
        <v>680765</v>
      </c>
    </row>
    <row r="48" spans="1:32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47"/>
      <c r="AD48" s="39"/>
      <c r="AE48" s="27"/>
      <c r="AF48" s="27"/>
    </row>
    <row r="49" spans="1:32" ht="15.75" x14ac:dyDescent="0.25">
      <c r="A49" s="7" t="s">
        <v>64</v>
      </c>
      <c r="B49" s="7"/>
      <c r="C49" s="77">
        <v>16384</v>
      </c>
      <c r="D49" s="77">
        <f t="shared" ref="D49:D53" si="92">D24-C24</f>
        <v>20254</v>
      </c>
      <c r="E49" s="77">
        <f t="shared" ref="E49:AF53" si="93">E24-D24</f>
        <v>12158</v>
      </c>
      <c r="F49" s="77">
        <f t="shared" si="93"/>
        <v>17495</v>
      </c>
      <c r="G49" s="77">
        <f t="shared" si="93"/>
        <v>17344</v>
      </c>
      <c r="H49" s="77">
        <f t="shared" si="93"/>
        <v>15470</v>
      </c>
      <c r="I49" s="77">
        <f t="shared" si="93"/>
        <v>13255</v>
      </c>
      <c r="J49" s="77">
        <f t="shared" si="93"/>
        <v>13225</v>
      </c>
      <c r="K49" s="77">
        <f t="shared" si="93"/>
        <v>13209</v>
      </c>
      <c r="L49" s="77">
        <f t="shared" si="93"/>
        <v>14254</v>
      </c>
      <c r="M49" s="77">
        <f t="shared" si="93"/>
        <v>11308</v>
      </c>
      <c r="N49" s="77">
        <f t="shared" si="93"/>
        <v>11984</v>
      </c>
      <c r="O49" s="77">
        <f t="shared" si="93"/>
        <v>16454</v>
      </c>
      <c r="P49" s="77">
        <f t="shared" si="93"/>
        <v>15463</v>
      </c>
      <c r="Q49" s="77">
        <f t="shared" si="93"/>
        <v>12187</v>
      </c>
      <c r="R49" s="77">
        <f t="shared" si="93"/>
        <v>15031</v>
      </c>
      <c r="S49" s="77">
        <f t="shared" si="93"/>
        <v>14795</v>
      </c>
      <c r="T49" s="77">
        <f t="shared" si="93"/>
        <v>14576</v>
      </c>
      <c r="U49" s="77">
        <f t="shared" si="93"/>
        <v>13734</v>
      </c>
      <c r="V49" s="77">
        <f t="shared" si="93"/>
        <v>14832</v>
      </c>
      <c r="W49" s="77">
        <f t="shared" si="93"/>
        <v>13239</v>
      </c>
      <c r="X49" s="77">
        <f t="shared" si="93"/>
        <v>15533</v>
      </c>
      <c r="Y49" s="77">
        <f t="shared" si="93"/>
        <v>16523</v>
      </c>
      <c r="Z49" s="77">
        <f t="shared" si="93"/>
        <v>10555</v>
      </c>
      <c r="AA49" s="77">
        <f t="shared" si="93"/>
        <v>13883</v>
      </c>
      <c r="AB49" s="77">
        <f t="shared" si="93"/>
        <v>13224</v>
      </c>
      <c r="AC49" s="105">
        <f t="shared" si="93"/>
        <v>12231</v>
      </c>
      <c r="AD49" s="77">
        <f t="shared" si="93"/>
        <v>12110</v>
      </c>
      <c r="AE49" s="77">
        <f>AE24-AD24</f>
        <v>11692</v>
      </c>
      <c r="AF49" s="77">
        <f>AF24-AE24</f>
        <v>11542</v>
      </c>
    </row>
    <row r="50" spans="1:32" ht="15.75" x14ac:dyDescent="0.25">
      <c r="A50" s="7" t="s">
        <v>65</v>
      </c>
      <c r="B50" s="7"/>
      <c r="C50" s="77">
        <v>16495</v>
      </c>
      <c r="D50" s="77">
        <f t="shared" si="92"/>
        <v>19501</v>
      </c>
      <c r="E50" s="77">
        <f t="shared" si="93"/>
        <v>16977</v>
      </c>
      <c r="F50" s="77">
        <f t="shared" si="93"/>
        <v>17384</v>
      </c>
      <c r="G50" s="77">
        <f t="shared" si="93"/>
        <v>18042</v>
      </c>
      <c r="H50" s="77">
        <f t="shared" si="93"/>
        <v>19996</v>
      </c>
      <c r="I50" s="77">
        <f t="shared" si="93"/>
        <v>17501</v>
      </c>
      <c r="J50" s="77">
        <f t="shared" si="93"/>
        <v>17118</v>
      </c>
      <c r="K50" s="77">
        <f t="shared" si="93"/>
        <v>18298</v>
      </c>
      <c r="L50" s="77">
        <f t="shared" si="93"/>
        <v>17851</v>
      </c>
      <c r="M50" s="77">
        <f t="shared" si="93"/>
        <v>17492</v>
      </c>
      <c r="N50" s="77">
        <f t="shared" si="93"/>
        <v>14258</v>
      </c>
      <c r="O50" s="77">
        <f t="shared" si="93"/>
        <v>17204</v>
      </c>
      <c r="P50" s="77">
        <f t="shared" si="93"/>
        <v>15182</v>
      </c>
      <c r="Q50" s="77">
        <f t="shared" si="93"/>
        <v>16279</v>
      </c>
      <c r="R50" s="77">
        <f t="shared" si="93"/>
        <v>16294</v>
      </c>
      <c r="S50" s="77">
        <f t="shared" si="93"/>
        <v>16777</v>
      </c>
      <c r="T50" s="77">
        <f t="shared" si="93"/>
        <v>16800</v>
      </c>
      <c r="U50" s="77">
        <f t="shared" si="93"/>
        <v>14461</v>
      </c>
      <c r="V50" s="77">
        <f t="shared" si="93"/>
        <v>15621</v>
      </c>
      <c r="W50" s="77">
        <f t="shared" si="93"/>
        <v>15864</v>
      </c>
      <c r="X50" s="77">
        <f t="shared" si="93"/>
        <v>12642</v>
      </c>
      <c r="Y50" s="77">
        <f t="shared" si="93"/>
        <v>18460</v>
      </c>
      <c r="Z50" s="77">
        <f t="shared" si="93"/>
        <v>13023</v>
      </c>
      <c r="AA50" s="77">
        <f t="shared" si="93"/>
        <v>15411</v>
      </c>
      <c r="AB50" s="77">
        <f t="shared" si="93"/>
        <v>16924</v>
      </c>
      <c r="AC50" s="105">
        <f t="shared" si="93"/>
        <v>16364</v>
      </c>
      <c r="AD50" s="77">
        <f t="shared" si="93"/>
        <v>14706</v>
      </c>
      <c r="AE50" s="77">
        <f t="shared" si="93"/>
        <v>13559</v>
      </c>
      <c r="AF50" s="77">
        <f t="shared" si="93"/>
        <v>12267</v>
      </c>
    </row>
    <row r="51" spans="1:32" ht="15.75" x14ac:dyDescent="0.25">
      <c r="A51" s="7" t="s">
        <v>66</v>
      </c>
      <c r="B51" s="7"/>
      <c r="C51" s="77">
        <v>4053</v>
      </c>
      <c r="D51" s="77">
        <f t="shared" si="92"/>
        <v>4341</v>
      </c>
      <c r="E51" s="77">
        <f t="shared" si="93"/>
        <v>3617</v>
      </c>
      <c r="F51" s="77">
        <f t="shared" si="93"/>
        <v>3897</v>
      </c>
      <c r="G51" s="77">
        <f t="shared" si="93"/>
        <v>3746</v>
      </c>
      <c r="H51" s="77">
        <f t="shared" si="93"/>
        <v>3988</v>
      </c>
      <c r="I51" s="77">
        <f t="shared" si="93"/>
        <v>3464</v>
      </c>
      <c r="J51" s="77">
        <f t="shared" si="93"/>
        <v>3462</v>
      </c>
      <c r="K51" s="77">
        <f t="shared" si="93"/>
        <v>3394</v>
      </c>
      <c r="L51" s="77">
        <f t="shared" si="93"/>
        <v>3346</v>
      </c>
      <c r="M51" s="77">
        <f t="shared" si="93"/>
        <v>4491</v>
      </c>
      <c r="N51" s="77">
        <f t="shared" si="93"/>
        <v>3963</v>
      </c>
      <c r="O51" s="77">
        <f t="shared" si="93"/>
        <v>4198</v>
      </c>
      <c r="P51" s="77">
        <f t="shared" si="93"/>
        <v>3925</v>
      </c>
      <c r="Q51" s="77">
        <f t="shared" si="93"/>
        <v>3618</v>
      </c>
      <c r="R51" s="77">
        <f t="shared" si="93"/>
        <v>4880</v>
      </c>
      <c r="S51" s="77">
        <f t="shared" si="93"/>
        <v>3943</v>
      </c>
      <c r="T51" s="77">
        <f t="shared" si="93"/>
        <v>3796</v>
      </c>
      <c r="U51" s="77">
        <f t="shared" si="93"/>
        <v>5566</v>
      </c>
      <c r="V51" s="77">
        <f t="shared" si="93"/>
        <v>5822</v>
      </c>
      <c r="W51" s="77">
        <f t="shared" si="93"/>
        <v>5358</v>
      </c>
      <c r="X51" s="77">
        <f t="shared" si="93"/>
        <v>5718</v>
      </c>
      <c r="Y51" s="77">
        <f t="shared" si="93"/>
        <v>6380</v>
      </c>
      <c r="Z51" s="77">
        <f t="shared" si="93"/>
        <v>4609</v>
      </c>
      <c r="AA51" s="77">
        <f t="shared" si="93"/>
        <v>5305</v>
      </c>
      <c r="AB51" s="77">
        <f t="shared" si="93"/>
        <v>5183</v>
      </c>
      <c r="AC51" s="105">
        <f t="shared" si="93"/>
        <v>4598</v>
      </c>
      <c r="AD51" s="77">
        <f t="shared" si="93"/>
        <v>5070</v>
      </c>
      <c r="AE51" s="77">
        <f t="shared" si="93"/>
        <v>5312</v>
      </c>
      <c r="AF51" s="77">
        <f t="shared" si="93"/>
        <v>4231</v>
      </c>
    </row>
    <row r="52" spans="1:32" ht="15.75" x14ac:dyDescent="0.25">
      <c r="A52" s="7" t="s">
        <v>67</v>
      </c>
      <c r="B52" s="7"/>
      <c r="C52" s="77">
        <v>57242</v>
      </c>
      <c r="D52" s="77">
        <f t="shared" si="92"/>
        <v>61418</v>
      </c>
      <c r="E52" s="77">
        <f t="shared" si="93"/>
        <v>52515</v>
      </c>
      <c r="F52" s="77">
        <f t="shared" si="93"/>
        <v>56613</v>
      </c>
      <c r="G52" s="77">
        <f t="shared" si="93"/>
        <v>55855</v>
      </c>
      <c r="H52" s="77">
        <f t="shared" si="93"/>
        <v>62933</v>
      </c>
      <c r="I52" s="77">
        <f t="shared" si="93"/>
        <v>56542</v>
      </c>
      <c r="J52" s="77">
        <f t="shared" si="93"/>
        <v>58479</v>
      </c>
      <c r="K52" s="77">
        <f t="shared" si="93"/>
        <v>57154</v>
      </c>
      <c r="L52" s="77">
        <f t="shared" si="93"/>
        <v>58096</v>
      </c>
      <c r="M52" s="77">
        <f t="shared" si="93"/>
        <v>58180</v>
      </c>
      <c r="N52" s="77">
        <f t="shared" si="93"/>
        <v>58829</v>
      </c>
      <c r="O52" s="77">
        <f t="shared" si="93"/>
        <v>60394</v>
      </c>
      <c r="P52" s="77">
        <f t="shared" si="93"/>
        <v>51981</v>
      </c>
      <c r="Q52" s="77">
        <f t="shared" si="93"/>
        <v>58709</v>
      </c>
      <c r="R52" s="77">
        <f t="shared" si="93"/>
        <v>59567</v>
      </c>
      <c r="S52" s="77">
        <f t="shared" si="93"/>
        <v>60996</v>
      </c>
      <c r="T52" s="77">
        <f t="shared" si="93"/>
        <v>60255</v>
      </c>
      <c r="U52" s="77">
        <f t="shared" si="93"/>
        <v>61199</v>
      </c>
      <c r="V52" s="77">
        <f t="shared" si="93"/>
        <v>62738</v>
      </c>
      <c r="W52" s="77">
        <f t="shared" si="93"/>
        <v>58976</v>
      </c>
      <c r="X52" s="77">
        <f t="shared" si="93"/>
        <v>61886</v>
      </c>
      <c r="Y52" s="77">
        <f t="shared" si="93"/>
        <v>71461</v>
      </c>
      <c r="Z52" s="77">
        <f t="shared" si="93"/>
        <v>48767</v>
      </c>
      <c r="AA52" s="77">
        <f t="shared" si="93"/>
        <v>57869</v>
      </c>
      <c r="AB52" s="77">
        <f t="shared" si="93"/>
        <v>58219</v>
      </c>
      <c r="AC52" s="105">
        <f t="shared" si="93"/>
        <v>58214</v>
      </c>
      <c r="AD52" s="77">
        <f t="shared" si="93"/>
        <v>57843</v>
      </c>
      <c r="AE52" s="77">
        <f t="shared" si="93"/>
        <v>58050</v>
      </c>
      <c r="AF52" s="77">
        <f t="shared" si="93"/>
        <v>55932</v>
      </c>
    </row>
    <row r="53" spans="1:32" ht="15.75" x14ac:dyDescent="0.25">
      <c r="A53" s="7" t="s">
        <v>68</v>
      </c>
      <c r="B53" s="7"/>
      <c r="C53" s="77">
        <v>4355</v>
      </c>
      <c r="D53" s="77">
        <f t="shared" si="92"/>
        <v>4692</v>
      </c>
      <c r="E53" s="77">
        <f t="shared" si="93"/>
        <v>3814</v>
      </c>
      <c r="F53" s="77">
        <f t="shared" si="93"/>
        <v>4368</v>
      </c>
      <c r="G53" s="77">
        <f t="shared" si="93"/>
        <v>4440</v>
      </c>
      <c r="H53" s="77">
        <f t="shared" si="93"/>
        <v>4930</v>
      </c>
      <c r="I53" s="77">
        <f t="shared" si="93"/>
        <v>4313</v>
      </c>
      <c r="J53" s="77">
        <f t="shared" si="93"/>
        <v>4458</v>
      </c>
      <c r="K53" s="77">
        <f t="shared" si="93"/>
        <v>4307</v>
      </c>
      <c r="L53" s="77">
        <f t="shared" si="93"/>
        <v>4356</v>
      </c>
      <c r="M53" s="77">
        <f t="shared" si="93"/>
        <v>4438</v>
      </c>
      <c r="N53" s="77">
        <f t="shared" si="93"/>
        <v>4525</v>
      </c>
      <c r="O53" s="77">
        <f t="shared" si="93"/>
        <v>4533</v>
      </c>
      <c r="P53" s="77">
        <f t="shared" si="93"/>
        <v>3831</v>
      </c>
      <c r="Q53" s="77">
        <f t="shared" si="93"/>
        <v>4317</v>
      </c>
      <c r="R53" s="77">
        <f t="shared" si="93"/>
        <v>4425</v>
      </c>
      <c r="S53" s="77">
        <f t="shared" si="93"/>
        <v>4549</v>
      </c>
      <c r="T53" s="77">
        <f t="shared" si="93"/>
        <v>4399</v>
      </c>
      <c r="U53" s="77">
        <f t="shared" si="93"/>
        <v>4528</v>
      </c>
      <c r="V53" s="77">
        <f t="shared" si="93"/>
        <v>4680</v>
      </c>
      <c r="W53" s="77">
        <f t="shared" si="93"/>
        <v>4418</v>
      </c>
      <c r="X53" s="77">
        <f t="shared" si="93"/>
        <v>4434</v>
      </c>
      <c r="Y53" s="77">
        <f t="shared" si="93"/>
        <v>5278</v>
      </c>
      <c r="Z53" s="77">
        <f t="shared" si="93"/>
        <v>3629</v>
      </c>
      <c r="AA53" s="77">
        <f t="shared" si="93"/>
        <v>4312</v>
      </c>
      <c r="AB53" s="77">
        <f t="shared" si="93"/>
        <v>4290</v>
      </c>
      <c r="AC53" s="105">
        <f t="shared" si="93"/>
        <v>4336</v>
      </c>
      <c r="AD53" s="77">
        <f t="shared" si="93"/>
        <v>4395</v>
      </c>
      <c r="AE53" s="77">
        <f t="shared" si="93"/>
        <v>4393</v>
      </c>
      <c r="AF53" s="77">
        <f t="shared" si="93"/>
        <v>4345</v>
      </c>
    </row>
    <row r="54" spans="1:32" ht="18.75" x14ac:dyDescent="0.25">
      <c r="A54" s="23" t="s">
        <v>70</v>
      </c>
      <c r="B54" s="23"/>
      <c r="C54" s="78">
        <v>98529</v>
      </c>
      <c r="D54" s="78">
        <f t="shared" ref="D54:E54" si="94">SUM(D49:D53)</f>
        <v>110206</v>
      </c>
      <c r="E54" s="78">
        <f t="shared" si="94"/>
        <v>89081</v>
      </c>
      <c r="F54" s="78">
        <f t="shared" ref="F54:G54" si="95">SUM(F49:F53)</f>
        <v>99757</v>
      </c>
      <c r="G54" s="78">
        <f t="shared" si="95"/>
        <v>99427</v>
      </c>
      <c r="H54" s="78">
        <f t="shared" ref="H54:I54" si="96">SUM(H49:H53)</f>
        <v>107317</v>
      </c>
      <c r="I54" s="78">
        <f t="shared" si="96"/>
        <v>95075</v>
      </c>
      <c r="J54" s="78">
        <f t="shared" ref="J54:K54" si="97">SUM(J49:J53)</f>
        <v>96742</v>
      </c>
      <c r="K54" s="78">
        <f t="shared" si="97"/>
        <v>96362</v>
      </c>
      <c r="L54" s="78">
        <f t="shared" ref="L54:M54" si="98">SUM(L49:L53)</f>
        <v>97903</v>
      </c>
      <c r="M54" s="78">
        <f t="shared" si="98"/>
        <v>95909</v>
      </c>
      <c r="N54" s="78">
        <f t="shared" ref="N54:O54" si="99">SUM(N49:N53)</f>
        <v>93559</v>
      </c>
      <c r="O54" s="78">
        <f t="shared" si="99"/>
        <v>102783</v>
      </c>
      <c r="P54" s="78">
        <f t="shared" ref="P54" si="100">SUM(P49:P53)</f>
        <v>90382</v>
      </c>
      <c r="Q54" s="78">
        <f t="shared" ref="Q54:R54" si="101">SUM(Q49:Q53)</f>
        <v>95110</v>
      </c>
      <c r="R54" s="78">
        <f t="shared" si="101"/>
        <v>100197</v>
      </c>
      <c r="S54" s="78">
        <f t="shared" ref="S54:T54" si="102">SUM(S49:S53)</f>
        <v>101060</v>
      </c>
      <c r="T54" s="78">
        <f t="shared" si="102"/>
        <v>99826</v>
      </c>
      <c r="U54" s="78">
        <f t="shared" ref="U54:V54" si="103">SUM(U49:U53)</f>
        <v>99488</v>
      </c>
      <c r="V54" s="78">
        <f t="shared" si="103"/>
        <v>103693</v>
      </c>
      <c r="W54" s="78">
        <f t="shared" ref="W54:X54" si="104">SUM(W49:W53)</f>
        <v>97855</v>
      </c>
      <c r="X54" s="78">
        <f t="shared" si="104"/>
        <v>100213</v>
      </c>
      <c r="Y54" s="78">
        <f t="shared" ref="Y54:Z54" si="105">SUM(Y49:Y53)</f>
        <v>118102</v>
      </c>
      <c r="Z54" s="78">
        <f t="shared" si="105"/>
        <v>80583</v>
      </c>
      <c r="AA54" s="78">
        <f t="shared" ref="AA54:AB54" si="106">SUM(AA49:AA53)</f>
        <v>96780</v>
      </c>
      <c r="AB54" s="78">
        <f t="shared" si="106"/>
        <v>97840</v>
      </c>
      <c r="AC54" s="106">
        <f t="shared" ref="AC54:AD54" si="107">SUM(AC49:AC53)</f>
        <v>95743</v>
      </c>
      <c r="AD54" s="78">
        <f t="shared" si="107"/>
        <v>94124</v>
      </c>
      <c r="AE54" s="78">
        <f t="shared" ref="AE54" si="108">SUM(AE49:AE53)</f>
        <v>93006</v>
      </c>
      <c r="AF54" s="113">
        <f>SUM(AF49:AF53)</f>
        <v>88317</v>
      </c>
    </row>
    <row r="55" spans="1:32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2">
        <v>34</v>
      </c>
      <c r="AD55" s="110">
        <v>42</v>
      </c>
      <c r="AE55" s="41">
        <v>46</v>
      </c>
      <c r="AF55" s="41">
        <v>45</v>
      </c>
    </row>
    <row r="56" spans="1:32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47">
        <v>36</v>
      </c>
      <c r="AD56" s="39">
        <v>39</v>
      </c>
      <c r="AE56" s="41">
        <v>46</v>
      </c>
      <c r="AF56" s="41">
        <v>46</v>
      </c>
    </row>
    <row r="57" spans="1:32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46"/>
      <c r="AD57" s="27"/>
      <c r="AE57" s="27"/>
      <c r="AF57" s="27"/>
    </row>
    <row r="58" spans="1:32" x14ac:dyDescent="0.25">
      <c r="A58" s="22" t="s">
        <v>73</v>
      </c>
      <c r="B58" s="22"/>
      <c r="C58" s="79">
        <v>9.0562549122347402</v>
      </c>
      <c r="D58" s="79">
        <f t="shared" ref="D58:E58" si="109">D44/(D56*347)</f>
        <v>9.5813400576368899</v>
      </c>
      <c r="E58" s="79">
        <f t="shared" si="109"/>
        <v>8.0623690070736185</v>
      </c>
      <c r="F58" s="79">
        <f t="shared" ref="F58:G58" si="110">F44/(F56*347)</f>
        <v>9.025289859928959</v>
      </c>
      <c r="G58" s="79">
        <f t="shared" si="110"/>
        <v>7.9013118395773292</v>
      </c>
      <c r="H58" s="79">
        <f t="shared" ref="H58:I58" si="111">H44/(H56*347)</f>
        <v>9.8536339354748037</v>
      </c>
      <c r="I58" s="79">
        <f t="shared" si="111"/>
        <v>7.8706739586062353</v>
      </c>
      <c r="J58" s="79">
        <f t="shared" ref="J58:K58" si="112">J44/(J56*347)</f>
        <v>8.286921117887541</v>
      </c>
      <c r="K58" s="79">
        <f t="shared" si="112"/>
        <v>8.9193299711815559</v>
      </c>
      <c r="L58" s="79">
        <f t="shared" ref="L58:M58" si="113">L44/(L56*347)</f>
        <v>8.8331870578988738</v>
      </c>
      <c r="M58" s="79">
        <f t="shared" si="113"/>
        <v>11.745626103932322</v>
      </c>
      <c r="N58" s="79">
        <f t="shared" ref="N58:O58" si="114">N44/(N56*347)</f>
        <v>13.947240900843205</v>
      </c>
      <c r="O58" s="79">
        <f t="shared" si="114"/>
        <v>9.03030848834163</v>
      </c>
      <c r="P58" s="79">
        <f t="shared" ref="P58:Q58" si="115">P44/(P56*347)</f>
        <v>8.6653877085986188</v>
      </c>
      <c r="Q58" s="79">
        <f t="shared" si="115"/>
        <v>10.777764512144916</v>
      </c>
      <c r="R58" s="79">
        <f t="shared" ref="R58:S58" si="116">R44/(R56*347)</f>
        <v>9.3010086455331429</v>
      </c>
      <c r="S58" s="79">
        <f t="shared" si="116"/>
        <v>9.2838840858149219</v>
      </c>
      <c r="T58" s="79">
        <f t="shared" ref="T58:U58" si="117">T44/(T56*347)</f>
        <v>8.9449983989753452</v>
      </c>
      <c r="U58" s="79">
        <f t="shared" si="117"/>
        <v>9.639769452449567</v>
      </c>
      <c r="V58" s="79">
        <f t="shared" ref="V58:W58" si="118">V44/(V56*347)</f>
        <v>9.1798991354466857</v>
      </c>
      <c r="W58" s="79">
        <f t="shared" si="118"/>
        <v>8.7689565042557476</v>
      </c>
      <c r="X58" s="79">
        <f t="shared" ref="X58:Y58" si="119">X44/(X56*347)</f>
        <v>9.66514815635853</v>
      </c>
      <c r="Y58" s="79">
        <f t="shared" si="119"/>
        <v>11.164208898573136</v>
      </c>
      <c r="Z58" s="79">
        <f t="shared" ref="Z58:AA58" si="120">Z44/(Z56*347)</f>
        <v>7.5352657328597283</v>
      </c>
      <c r="AA58" s="79">
        <f t="shared" si="120"/>
        <v>8.5366213507079305</v>
      </c>
      <c r="AB58" s="79">
        <f t="shared" ref="AB58:AC58" si="121">AB44/(AB56*347)</f>
        <v>8.2242197559629648</v>
      </c>
      <c r="AC58" s="107">
        <f t="shared" si="121"/>
        <v>10.367567243035543</v>
      </c>
      <c r="AD58" s="79">
        <f t="shared" ref="AD58:AE58" si="122">AD44/(AD56*347)</f>
        <v>10.377226040050248</v>
      </c>
      <c r="AE58" s="79">
        <f t="shared" si="122"/>
        <v>8.6676763563463233</v>
      </c>
      <c r="AF58" s="79">
        <f>AF44/(AF56*347)</f>
        <v>8.3572453326650802</v>
      </c>
    </row>
    <row r="59" spans="1:32" x14ac:dyDescent="0.25">
      <c r="A59" s="22" t="s">
        <v>74</v>
      </c>
      <c r="B59" s="22"/>
      <c r="C59" s="79">
        <v>20.487038402251859</v>
      </c>
      <c r="D59" s="79">
        <f t="shared" ref="D59:E59" si="123">D45/(D55*347)</f>
        <v>20.118738392571245</v>
      </c>
      <c r="E59" s="79">
        <f t="shared" si="123"/>
        <v>17.620300628766046</v>
      </c>
      <c r="F59" s="79">
        <f t="shared" ref="F59:G59" si="124">F45/(F55*347)</f>
        <v>18.318355383809276</v>
      </c>
      <c r="G59" s="79">
        <f t="shared" si="124"/>
        <v>17.984760681618845</v>
      </c>
      <c r="H59" s="79">
        <f t="shared" ref="H59:I59" si="125">H45/(H55*347)</f>
        <v>21.441838205022641</v>
      </c>
      <c r="I59" s="79">
        <f t="shared" si="125"/>
        <v>18.004620775478124</v>
      </c>
      <c r="J59" s="79">
        <f t="shared" ref="J59:K59" si="126">J45/(J55*347)</f>
        <v>20.279888328530259</v>
      </c>
      <c r="K59" s="79">
        <f t="shared" si="126"/>
        <v>18.988385496950606</v>
      </c>
      <c r="L59" s="79">
        <f t="shared" ref="L59:M59" si="127">L45/(L55*347)</f>
        <v>19.957234769787551</v>
      </c>
      <c r="M59" s="79">
        <f t="shared" si="127"/>
        <v>26.405600384245915</v>
      </c>
      <c r="N59" s="79">
        <f t="shared" ref="N59:O59" si="128">N45/(N55*347)</f>
        <v>28.752406873732522</v>
      </c>
      <c r="O59" s="79">
        <f t="shared" si="128"/>
        <v>20.556075888568685</v>
      </c>
      <c r="P59" s="79">
        <f t="shared" ref="P59:Q59" si="129">P45/(P55*347)</f>
        <v>16.920169778223279</v>
      </c>
      <c r="Q59" s="79">
        <f t="shared" si="129"/>
        <v>22.145057200244519</v>
      </c>
      <c r="R59" s="79">
        <f t="shared" ref="R59:S59" si="130">R45/(R55*347)</f>
        <v>18.479375163741157</v>
      </c>
      <c r="S59" s="79">
        <f t="shared" si="130"/>
        <v>19.61525136087096</v>
      </c>
      <c r="T59" s="79">
        <f t="shared" ref="T59:U59" si="131">T45/(T55*347)</f>
        <v>18.587323017165769</v>
      </c>
      <c r="U59" s="79">
        <f t="shared" si="131"/>
        <v>21.418359457369789</v>
      </c>
      <c r="V59" s="79">
        <f t="shared" ref="V59:W59" si="132">V45/(V55*347)</f>
        <v>20.410438308424371</v>
      </c>
      <c r="W59" s="79">
        <f t="shared" si="132"/>
        <v>20.207787681790766</v>
      </c>
      <c r="X59" s="79">
        <f t="shared" ref="X59:Y59" si="133">X45/(X55*347)</f>
        <v>22.201292827409542</v>
      </c>
      <c r="Y59" s="79">
        <f t="shared" si="133"/>
        <v>22.560806916426511</v>
      </c>
      <c r="Z59" s="79">
        <f t="shared" ref="Z59:AA59" si="134">Z45/(Z55*347)</f>
        <v>16.511874508776526</v>
      </c>
      <c r="AA59" s="79">
        <f t="shared" si="134"/>
        <v>17.934910172297506</v>
      </c>
      <c r="AB59" s="79">
        <f t="shared" ref="AB59:AC59" si="135">AB45/(AB55*347)</f>
        <v>18.350219270768076</v>
      </c>
      <c r="AC59" s="107">
        <f t="shared" si="135"/>
        <v>22.311862180030513</v>
      </c>
      <c r="AD59" s="79">
        <f t="shared" ref="AD59:AE59" si="136">AD45/(AD55*347)</f>
        <v>19.497461232331549</v>
      </c>
      <c r="AE59" s="79">
        <f t="shared" si="136"/>
        <v>17.799307730860793</v>
      </c>
      <c r="AF59" s="79">
        <f>AF45/(AF55*347)</f>
        <v>17.436929234710217</v>
      </c>
    </row>
    <row r="60" spans="1:32" x14ac:dyDescent="0.25">
      <c r="A60" s="22" t="s">
        <v>75</v>
      </c>
      <c r="B60" s="22"/>
      <c r="C60" s="79">
        <v>13.817773607667046</v>
      </c>
      <c r="D60" s="79">
        <f t="shared" ref="D60:E60" si="137">D46/(D55*347)</f>
        <v>11.103682356708294</v>
      </c>
      <c r="E60" s="79">
        <f t="shared" si="137"/>
        <v>10.035368090123134</v>
      </c>
      <c r="F60" s="79">
        <f t="shared" ref="F60:G60" si="138">F46/(F55*347)</f>
        <v>14.241878438564317</v>
      </c>
      <c r="G60" s="79">
        <f t="shared" si="138"/>
        <v>14.894248840997369</v>
      </c>
      <c r="H60" s="79">
        <f t="shared" ref="H60:I60" si="139">H46/(H55*347)</f>
        <v>12.049608892548374</v>
      </c>
      <c r="I60" s="79">
        <f t="shared" si="139"/>
        <v>12.639507466596804</v>
      </c>
      <c r="J60" s="79">
        <f t="shared" ref="J60:K60" si="140">J46/(J55*347)</f>
        <v>16.67399135446686</v>
      </c>
      <c r="K60" s="79">
        <f t="shared" si="140"/>
        <v>21.69988606661752</v>
      </c>
      <c r="L60" s="79">
        <f t="shared" ref="L60:M60" si="141">L46/(L55*347)</f>
        <v>15.705247637557804</v>
      </c>
      <c r="M60" s="79">
        <f t="shared" si="141"/>
        <v>16.978097982708935</v>
      </c>
      <c r="N60" s="79">
        <f t="shared" ref="N60:O60" si="142">N46/(N55*347)</f>
        <v>17.136193830718327</v>
      </c>
      <c r="O60" s="79">
        <f t="shared" si="142"/>
        <v>12.435089886098531</v>
      </c>
      <c r="P60" s="79">
        <f t="shared" ref="P60:Q60" si="143">P46/(P55*347)</f>
        <v>14.078874827715826</v>
      </c>
      <c r="Q60" s="79">
        <f t="shared" si="143"/>
        <v>14.937385381189415</v>
      </c>
      <c r="R60" s="79">
        <f t="shared" ref="R60:S60" si="144">R46/(R55*347)</f>
        <v>15.756811632171862</v>
      </c>
      <c r="S60" s="79">
        <f t="shared" si="144"/>
        <v>16.752801793147615</v>
      </c>
      <c r="T60" s="79">
        <f t="shared" ref="T60:U60" si="145">T46/(T55*347)</f>
        <v>16.061771707806038</v>
      </c>
      <c r="U60" s="79">
        <f t="shared" si="145"/>
        <v>19.936388556969142</v>
      </c>
      <c r="V60" s="79">
        <f t="shared" ref="V60:W60" si="146">V46/(V55*347)</f>
        <v>13.610481871188258</v>
      </c>
      <c r="W60" s="79">
        <f t="shared" si="146"/>
        <v>13.941625896387642</v>
      </c>
      <c r="X60" s="79">
        <f t="shared" ref="X60:Y60" si="147">X46/(X55*347)</f>
        <v>16.793948126801151</v>
      </c>
      <c r="Y60" s="79">
        <f t="shared" si="147"/>
        <v>20.168755445345486</v>
      </c>
      <c r="Z60" s="79">
        <f t="shared" ref="Z60:AA60" si="148">Z46/(Z55*347)</f>
        <v>17.421928215876342</v>
      </c>
      <c r="AA60" s="79">
        <f t="shared" si="148"/>
        <v>18.366362131338526</v>
      </c>
      <c r="AB60" s="79">
        <f t="shared" ref="AB60:AC60" si="149">AB46/(AB55*347)</f>
        <v>18.851146472873072</v>
      </c>
      <c r="AC60" s="107">
        <f t="shared" si="149"/>
        <v>23.297677572469912</v>
      </c>
      <c r="AD60" s="79">
        <f t="shared" ref="AD60:AE60" si="150">AD46/(AD55*347)</f>
        <v>22.220529710443255</v>
      </c>
      <c r="AE60" s="79">
        <f t="shared" si="150"/>
        <v>19.210687883723843</v>
      </c>
      <c r="AF60" s="79">
        <f>AF46/(AF55*347)</f>
        <v>17.616970861351266</v>
      </c>
    </row>
    <row r="61" spans="1:32" x14ac:dyDescent="0.25">
      <c r="A61" s="22" t="s">
        <v>76</v>
      </c>
      <c r="B61" s="22"/>
      <c r="C61" s="79">
        <v>43.36106692215364</v>
      </c>
      <c r="D61" s="79">
        <f t="shared" ref="D61:E61" si="151">SUM(D58:D60)</f>
        <v>40.803760806916429</v>
      </c>
      <c r="E61" s="79">
        <f t="shared" si="151"/>
        <v>35.718037725962802</v>
      </c>
      <c r="F61" s="79">
        <f t="shared" ref="F61" si="152">SUM(F58:F60)</f>
        <v>41.585523682302551</v>
      </c>
      <c r="G61" s="79">
        <f t="shared" ref="G61:H61" si="153">SUM(G58:G60)</f>
        <v>40.78032136219354</v>
      </c>
      <c r="H61" s="79">
        <f t="shared" si="153"/>
        <v>43.345081033045815</v>
      </c>
      <c r="I61" s="79">
        <f t="shared" ref="I61:J61" si="154">SUM(I58:I60)</f>
        <v>38.51480220068116</v>
      </c>
      <c r="J61" s="79">
        <f t="shared" si="154"/>
        <v>45.240800800884656</v>
      </c>
      <c r="K61" s="79">
        <f t="shared" ref="K61:L61" si="155">SUM(K58:K60)</f>
        <v>49.607601534749676</v>
      </c>
      <c r="L61" s="79">
        <f t="shared" si="155"/>
        <v>44.495669465244227</v>
      </c>
      <c r="M61" s="79">
        <f t="shared" ref="M61:N61" si="156">SUM(M58:M60)</f>
        <v>55.12932447088717</v>
      </c>
      <c r="N61" s="79">
        <f t="shared" si="156"/>
        <v>59.83584160529405</v>
      </c>
      <c r="O61" s="79">
        <f t="shared" ref="O61:P61" si="157">SUM(O58:O60)</f>
        <v>42.021474263008848</v>
      </c>
      <c r="P61" s="79">
        <f t="shared" si="157"/>
        <v>39.66443231453772</v>
      </c>
      <c r="Q61" s="79">
        <f t="shared" ref="Q61:R61" si="158">SUM(Q58:Q60)</f>
        <v>47.86020709357885</v>
      </c>
      <c r="R61" s="79">
        <f t="shared" si="158"/>
        <v>43.537195441446158</v>
      </c>
      <c r="S61" s="79">
        <f t="shared" ref="S61:T61" si="159">SUM(S58:S60)</f>
        <v>45.651937239833501</v>
      </c>
      <c r="T61" s="79">
        <f t="shared" si="159"/>
        <v>43.594093123947154</v>
      </c>
      <c r="U61" s="79">
        <f t="shared" ref="U61:V61" si="160">SUM(U58:U60)</f>
        <v>50.994517466788494</v>
      </c>
      <c r="V61" s="79">
        <f t="shared" si="160"/>
        <v>43.200819315059313</v>
      </c>
      <c r="W61" s="79">
        <f t="shared" ref="W61:X61" si="161">SUM(W58:W60)</f>
        <v>42.918370082434151</v>
      </c>
      <c r="X61" s="79">
        <f t="shared" si="161"/>
        <v>48.660389110569227</v>
      </c>
      <c r="Y61" s="79">
        <f t="shared" ref="Y61:Z61" si="162">SUM(Y58:Y60)</f>
        <v>53.893771260345133</v>
      </c>
      <c r="Z61" s="79">
        <f t="shared" si="162"/>
        <v>41.469068457512591</v>
      </c>
      <c r="AA61" s="79">
        <f t="shared" ref="AA61:AB61" si="163">SUM(AA58:AA60)</f>
        <v>44.837893654343965</v>
      </c>
      <c r="AB61" s="79">
        <f t="shared" si="163"/>
        <v>45.425585499604111</v>
      </c>
      <c r="AC61" s="107">
        <f t="shared" ref="AC61:AD61" si="164">SUM(AC58:AC60)</f>
        <v>55.977106995535962</v>
      </c>
      <c r="AD61" s="79">
        <f t="shared" si="164"/>
        <v>52.09521698282505</v>
      </c>
      <c r="AE61" s="79">
        <f t="shared" ref="AE61:AF61" si="165">SUM(AE58:AE60)</f>
        <v>45.677671970930959</v>
      </c>
      <c r="AF61" s="79">
        <f t="shared" si="165"/>
        <v>43.411145428726563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2026-03-29T22:12:48Z</dcterms:modified>
</cp:coreProperties>
</file>